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7091F466-32E9-47E5-AE44-1FC125FC2452}" xr6:coauthVersionLast="47" xr6:coauthVersionMax="47" xr10:uidLastSave="{00000000-0000-0000-0000-000000000000}"/>
  <bookViews>
    <workbookView xWindow="-120" yWindow="-120" windowWidth="9840" windowHeight="6720" xr2:uid="{87A234F6-B207-41A0-A518-4EA6941AE43D}"/>
  </bookViews>
  <sheets>
    <sheet name="Kinds" sheetId="1" r:id="rId1"/>
    <sheet name="Refs" sheetId="2" r:id="rId2"/>
    <sheet name="Other" sheetId="3" r:id="rId3"/>
    <sheet name="Jan" sheetId="4" r:id="rId4"/>
    <sheet name="Mar" sheetId="5" r:id="rId5"/>
    <sheet name="OffSheet" sheetId="6" r:id="rId6"/>
    <sheet name="Merged" sheetId="7" r:id="rId7"/>
    <sheet name="MergeEdge" sheetId="8" r:id="rId8"/>
    <sheet name="MergedWhole" sheetId="9" r:id="rId9"/>
    <sheet name="MergedPart" sheetId="10" r:id="rId10"/>
    <sheet name="Notes" sheetId="11" r:id="rId11"/>
    <sheet name="Over" sheetId="12" r:id="rId12"/>
    <sheet name="Rules" sheetId="13" r:id="rId13"/>
    <sheet name="Onto" sheetId="14" r:id="rId14"/>
    <sheet name="From" sheetId="15" r:id="rId15"/>
    <sheet name="To" sheetId="16" r:id="rId16"/>
    <sheet name="Overlap" sheetId="17" r:id="rId17"/>
    <sheet name="Arrays" sheetId="18" r:id="rId18"/>
    <sheet name="SpillAnchor" sheetId="19" r:id="rId19"/>
    <sheet name="SpillOver" sheetId="20" r:id="rId20"/>
    <sheet name="ArrayCut" sheetId="21" r:id="rId21"/>
    <sheet name="ArrayWhole" sheetId="22" r:id="rId22"/>
    <sheet name="Hidden" sheetId="23" r:id="rId23"/>
    <sheet name="Filtered" sheetId="24" r:id="rId24"/>
    <sheet name="FilterHand" sheetId="25" r:id="rId25"/>
    <sheet name="HiddenColumn" sheetId="26" r:id="rId26"/>
    <sheet name="TableRows" sheetId="27" r:id="rId27"/>
    <sheet name="Shared" sheetId="28" r:id="rId28"/>
    <sheet name="Tile" sheetId="29" r:id="rId29"/>
    <sheet name="Blanks" sheetId="30" r:id="rId30"/>
    <sheet name="Sizes" sheetId="31" r:id="rId31"/>
    <sheet name="WholeRows" sheetId="32" r:id="rId32"/>
    <sheet name="WholeColumns" sheetId="33" r:id="rId33"/>
    <sheet name="IntoTable" sheetId="34" r:id="rId34"/>
    <sheet name="PartOut" sheetId="35" r:id="rId35"/>
  </sheets>
  <definedNames>
    <definedName name="_xlnm._FilterDatabase" localSheetId="23" hidden="1">Filtered!$A$1:$A$6</definedName>
    <definedName name="_xlnm._FilterDatabase" localSheetId="24" hidden="1">FilterHand!$A$1:$A$6</definedName>
    <definedName name="_xlnm._FilterDatabase" localSheetId="25" hidden="1">HiddenColumn!$A$1:$C$4</definedName>
    <definedName name="Rate">Refs!$B$1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5" l="1"/>
  <c r="G2" i="35"/>
  <c r="U3" i="29"/>
  <c r="U2" i="29"/>
  <c r="U1" i="29"/>
  <c r="P2" i="29"/>
  <c r="P1" i="29"/>
  <c r="M4" i="29"/>
  <c r="K4" i="29"/>
  <c r="M3" i="29"/>
  <c r="K3" i="29"/>
  <c r="M2" i="29"/>
  <c r="K2" i="29"/>
  <c r="M1" i="29"/>
  <c r="K1" i="29"/>
  <c r="I2" i="29"/>
  <c r="I1" i="29"/>
  <c r="G6" i="29"/>
  <c r="G5" i="29"/>
  <c r="G4" i="29"/>
  <c r="G3" i="29"/>
  <c r="G2" i="29"/>
  <c r="G1" i="29"/>
  <c r="E3" i="29"/>
  <c r="D3" i="29"/>
  <c r="E2" i="29"/>
  <c r="D2" i="29"/>
  <c r="E1" i="29"/>
  <c r="D1" i="29"/>
  <c r="D5" i="28"/>
  <c r="D4" i="28"/>
  <c r="D3" i="28"/>
  <c r="D2" i="28"/>
  <c r="I1" i="18" a="1"/>
  <c r="H1" i="18" a="1"/>
  <c r="G1" i="18" a="1"/>
  <c r="F1" i="18" a="1"/>
  <c r="A5" i="17"/>
  <c r="A12" i="6"/>
  <c r="A11" i="6"/>
  <c r="A10" i="6"/>
  <c r="A9" i="6"/>
  <c r="A8" i="6"/>
  <c r="A7" i="6"/>
  <c r="A6" i="6"/>
  <c r="A5" i="6"/>
  <c r="A4" i="6"/>
  <c r="A3" i="6"/>
  <c r="A2" i="6"/>
  <c r="A15" i="6" s="1"/>
  <c r="A1" i="6"/>
  <c r="E15" i="3"/>
  <c r="E14" i="3"/>
  <c r="E13" i="3"/>
  <c r="E12" i="3"/>
  <c r="E11" i="3"/>
  <c r="E9" i="3"/>
  <c r="E8" i="3"/>
  <c r="E7" i="3"/>
  <c r="E5" i="3"/>
  <c r="E4" i="3"/>
  <c r="E3" i="3"/>
  <c r="E2" i="3"/>
  <c r="E1" i="3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D6" i="1"/>
  <c r="E5" i="1"/>
  <c r="C2" i="35"/>
  <c r="C3" i="35"/>
  <c r="C4" i="35"/>
  <c r="A3" i="29"/>
  <c r="A2" i="29"/>
  <c r="A1" i="29"/>
  <c r="A1" i="28"/>
  <c r="A2" i="28"/>
  <c r="A3" i="28"/>
  <c r="A4" i="28"/>
  <c r="E2" i="21" a="1"/>
  <c r="A1" i="20" a="1"/>
  <c r="C1" i="18" a="1"/>
  <c r="A1" i="18" a="1"/>
  <c r="A16" i="6"/>
  <c r="A14" i="6"/>
  <c r="A13" i="6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B3" i="1"/>
  <c r="A4" i="1"/>
  <c r="H2" i="18" l="1"/>
  <c r="H1" i="18"/>
  <c r="G1" i="18" s="1"/>
  <c r="F3" i="18"/>
  <c r="F2" i="18"/>
  <c r="F1" i="18"/>
  <c r="E10" i="3"/>
  <c r="E6" i="3"/>
  <c r="E2" i="21"/>
  <c r="E3" i="21"/>
  <c r="A2" i="18"/>
  <c r="A1" i="18"/>
  <c r="A3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5B63D453-A6B2-41F7-9430-895CE44FFF1C}">
      <text>
        <r>
          <rPr>
            <sz val="9"/>
            <color indexed="81"/>
            <rFont val="Tahoma"/>
            <family val="2"/>
          </rPr>
          <t>a note</t>
        </r>
      </text>
    </comment>
    <comment ref="B2" authorId="0" shapeId="0" xr:uid="{1A32EE26-ABB9-4127-B973-5806AA391777}">
      <text>
        <r>
          <rPr>
            <sz val="9"/>
            <color indexed="81"/>
            <rFont val="Tahoma"/>
            <family val="2"/>
          </rPr>
          <t>a box moved and sized</t>
        </r>
      </text>
    </comment>
    <comment ref="D2" authorId="0" shapeId="0" xr:uid="{8DBA01A9-2124-483E-A52E-B7C5E09BDA02}">
      <text>
        <r>
          <rPr>
            <sz val="9"/>
            <color indexed="81"/>
            <rFont val="Tahoma"/>
            <family val="2"/>
          </rPr>
          <t>a note</t>
        </r>
      </text>
    </comment>
    <comment ref="E3" authorId="0" shapeId="0" xr:uid="{24C12EA9-9502-419F-A52F-A8AF02663EB1}">
      <text>
        <r>
          <rPr>
            <sz val="9"/>
            <color indexed="81"/>
            <rFont val="Tahoma"/>
            <family val="2"/>
          </rPr>
          <t>a box moved and sized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4C845FE-404F-441D-BAEE-562D78CA54A0}">
      <text>
        <r>
          <rPr>
            <sz val="9"/>
            <color indexed="81"/>
            <rFont val="Tahoma"/>
            <family val="2"/>
          </rPr>
          <t>source note</t>
        </r>
      </text>
    </comment>
    <comment ref="C1" authorId="0" shapeId="0" xr:uid="{10EE9FA5-CA42-4FD7-803C-95C9A9D56BC5}">
      <text>
        <r>
          <rPr>
            <sz val="9"/>
            <color indexed="81"/>
            <rFont val="Tahoma"/>
            <family val="2"/>
          </rPr>
          <t>source note</t>
        </r>
      </text>
    </comment>
    <comment ref="C3" authorId="0" shapeId="0" xr:uid="{5A722B0E-10C4-4A58-B82E-C0AB5BF388D5}">
      <text>
        <r>
          <rPr>
            <sz val="9"/>
            <color indexed="81"/>
            <rFont val="Tahoma"/>
            <family val="2"/>
          </rPr>
          <t>note below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<sst xmlns="http://schemas.openxmlformats.org/spreadsheetml/2006/main" count="85" uniqueCount="22">
  <si>
    <t>text</t>
  </si>
  <si>
    <t>007</t>
  </si>
  <si>
    <t>bold</t>
  </si>
  <si>
    <t>wide</t>
  </si>
  <si>
    <t>tall</t>
  </si>
  <si>
    <t>c3</t>
  </si>
  <si>
    <t>a2</t>
  </si>
  <si>
    <t>noted</t>
  </si>
  <si>
    <t>link</t>
  </si>
  <si>
    <t>inside</t>
  </si>
  <si>
    <t>moved box</t>
  </si>
  <si>
    <t>a</t>
  </si>
  <si>
    <t>b</t>
  </si>
  <si>
    <t>c</t>
  </si>
  <si>
    <t>x</t>
  </si>
  <si>
    <t>y</t>
  </si>
  <si>
    <t>h</t>
  </si>
  <si>
    <t>g</t>
  </si>
  <si>
    <t>f</t>
  </si>
  <si>
    <t>k</t>
  </si>
  <si>
    <t>n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</si>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</sst>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0000"/>
        <bgColor indexed="64"/>
      </patternFill>
    </fill>
    <fill>
      <patternFill patternType="solid">
        <fgColor rgb="FF00C8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0" borderId="0" xfId="0"/>
    <xf numFmtId="0" fontId="3" fillId="0" borderId="0" xfId="1"/>
    <xf numFmtId="0" fontId="0" fillId="0" borderId="1" xfId="0" applyFont="1" applyBorder="1"/>
    <xf numFmtId="0" fontId="0" fillId="4" borderId="2" xfId="0" applyFont="1" applyFill="1" applyBorder="1"/>
    <xf numFmtId="0" fontId="0" fillId="0" borderId="2" xfId="0" applyFont="1" applyBorder="1"/>
    <xf numFmtId="0" fontId="0" fillId="4" borderId="3" xfId="0" applyFont="1" applyFill="1" applyBorder="1"/>
    <xf numFmtId="0" fontId="0" fillId="4" borderId="1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CDFDF-1419-4DCF-8B7D-07EAD708A973}" name="Seen" displayName="Seen" ref="A1:A6" totalsRowShown="0">
  <autoFilter ref="A1:A6" xr:uid="{C53CDFDF-1419-4DCF-8B7D-07EAD708A973}">
    <filterColumn colId="0">
      <customFilters>
        <customFilter operator="greaterThan" val="2"/>
      </customFilters>
    </filterColumn>
  </autoFilter>
  <tableColumns count="1">
    <tableColumn id="1" xr3:uid="{06EA3F99-68B2-49ED-9645-AEA4109DC3C0}" name="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7D6ACE-988F-45E2-B73F-209491885B24}" name="Into" displayName="Into" ref="A1:B4" totalsRowShown="0">
  <autoFilter ref="A1:B4" xr:uid="{F37D6ACE-988F-45E2-B73F-209491885B24}"/>
  <tableColumns count="2">
    <tableColumn id="1" xr3:uid="{782A547D-0B82-4364-A1B6-1C9B10B9EF1E}" name="k"/>
    <tableColumn id="2" xr3:uid="{0703C09E-E977-47FA-B519-C4CDA3D536C4}" name="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84289F-1034-4DA7-B0A6-7CE529AAC348}" name="Part" displayName="Part" ref="A1:C4" totalsRowShown="0">
  <autoFilter ref="A1:C4" xr:uid="{CD84289F-1034-4DA7-B0A6-7CE529AAC348}"/>
  <tableColumns count="3">
    <tableColumn id="1" xr3:uid="{22B5A7FC-CA03-44F5-86D6-455558824A40}" name="k"/>
    <tableColumn id="2" xr3:uid="{DC0890E6-F0BE-482C-A95C-A92463930ED4}" name="n"/>
    <tableColumn id="3" xr3:uid="{BB31063B-D4AA-4ECF-9DDF-55164E6FE082}" name="calc">
      <calculatedColumnFormula>Part[[#This Row],[n]]*2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a" TargetMode="External"/><Relationship Id="rId1" Type="http://schemas.openxmlformats.org/officeDocument/2006/relationships/hyperlink" Target="https://example.com/a" TargetMode="External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6176-3608-405D-8D66-5C691907EA8A}">
  <sheetPr codeName="Sheet1"/>
  <dimension ref="A1:E9"/>
  <sheetViews>
    <sheetView tabSelected="1" workbookViewId="0"/>
  </sheetViews>
  <sheetFormatPr defaultRowHeight="15" x14ac:dyDescent="0.25"/>
  <cols>
    <col min="1" max="1" width="9.42578125" bestFit="1" customWidth="1"/>
  </cols>
  <sheetData>
    <row r="1" spans="1:5" x14ac:dyDescent="0.25">
      <c r="A1" t="s">
        <v>0</v>
      </c>
      <c r="B1" s="5" t="s">
        <v>2</v>
      </c>
    </row>
    <row r="2" spans="1:5" x14ac:dyDescent="0.25">
      <c r="A2" s="2">
        <v>12.5</v>
      </c>
      <c r="B2" s="6">
        <v>5</v>
      </c>
    </row>
    <row r="3" spans="1:5" x14ac:dyDescent="0.25">
      <c r="A3" t="b">
        <v>1</v>
      </c>
      <c r="B3">
        <f>B2*2</f>
        <v>10</v>
      </c>
      <c r="D3" t="s">
        <v>0</v>
      </c>
      <c r="E3" s="5" t="s">
        <v>2</v>
      </c>
    </row>
    <row r="4" spans="1:5" x14ac:dyDescent="0.25">
      <c r="A4" t="e">
        <f>NA()</f>
        <v>#N/A</v>
      </c>
      <c r="D4" s="2">
        <v>12.5</v>
      </c>
      <c r="E4" s="6">
        <v>5</v>
      </c>
    </row>
    <row r="5" spans="1:5" x14ac:dyDescent="0.25">
      <c r="A5" s="3">
        <v>43845</v>
      </c>
      <c r="D5" t="b">
        <v>1</v>
      </c>
      <c r="E5">
        <f>E4*2</f>
        <v>10</v>
      </c>
    </row>
    <row r="6" spans="1:5" x14ac:dyDescent="0.25">
      <c r="A6" s="4"/>
      <c r="D6" t="e">
        <f>NA()</f>
        <v>#N/A</v>
      </c>
    </row>
    <row r="7" spans="1:5" x14ac:dyDescent="0.25">
      <c r="A7" s="1" t="s">
        <v>1</v>
      </c>
      <c r="D7" s="3">
        <v>43845</v>
      </c>
    </row>
    <row r="8" spans="1:5" x14ac:dyDescent="0.25">
      <c r="D8" s="4"/>
    </row>
    <row r="9" spans="1:5" x14ac:dyDescent="0.25">
      <c r="D9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B799-4387-47D5-89C4-C3931EEEF057}">
  <dimension ref="A1:C19"/>
  <sheetViews>
    <sheetView workbookViewId="0"/>
  </sheetViews>
  <sheetFormatPr defaultRowHeight="15" x14ac:dyDescent="0.25"/>
  <sheetData>
    <row r="1" spans="1:3" x14ac:dyDescent="0.25">
      <c r="A1">
        <f>B1</f>
        <v>0</v>
      </c>
    </row>
    <row r="2" spans="1:3" x14ac:dyDescent="0.25">
      <c r="A2">
        <f>$B$1</f>
        <v>0</v>
      </c>
    </row>
    <row r="3" spans="1:3" x14ac:dyDescent="0.25">
      <c r="A3">
        <f>B$1</f>
        <v>0</v>
      </c>
    </row>
    <row r="4" spans="1:3" x14ac:dyDescent="0.25">
      <c r="A4">
        <f>$B1</f>
        <v>0</v>
      </c>
    </row>
    <row r="5" spans="1:3" x14ac:dyDescent="0.25">
      <c r="A5">
        <f>SUM(B1:B3)</f>
        <v>0</v>
      </c>
      <c r="C5">
        <f>D5</f>
        <v>0</v>
      </c>
    </row>
    <row r="6" spans="1:3" x14ac:dyDescent="0.25">
      <c r="A6">
        <f>SUM($B$1:B3)</f>
        <v>0</v>
      </c>
      <c r="C6">
        <f>$B$1</f>
        <v>0</v>
      </c>
    </row>
    <row r="7" spans="1:3" x14ac:dyDescent="0.25">
      <c r="A7">
        <f>Other!B1</f>
        <v>0</v>
      </c>
      <c r="C7">
        <f>D$1</f>
        <v>0</v>
      </c>
    </row>
    <row r="8" spans="1:3" x14ac:dyDescent="0.25">
      <c r="A8">
        <f>SUM(Jan:Mar!B1)</f>
        <v>0</v>
      </c>
      <c r="C8">
        <f>$B5</f>
        <v>0</v>
      </c>
    </row>
    <row r="9" spans="1:3" x14ac:dyDescent="0.25">
      <c r="A9">
        <f>SUM(B:B)</f>
        <v>0</v>
      </c>
      <c r="C9">
        <f>SUM(D5:D7)</f>
        <v>0</v>
      </c>
    </row>
    <row r="10" spans="1:3" x14ac:dyDescent="0.25">
      <c r="A10">
        <f>SUM(2:3)</f>
        <v>0</v>
      </c>
      <c r="C10">
        <f>SUM($B$1:D7)</f>
        <v>0</v>
      </c>
    </row>
    <row r="11" spans="1:3" x14ac:dyDescent="0.25">
      <c r="A11">
        <f>Rate</f>
        <v>0</v>
      </c>
      <c r="C11">
        <f>Other!D5</f>
        <v>0</v>
      </c>
    </row>
    <row r="12" spans="1:3" x14ac:dyDescent="0.25">
      <c r="A12" t="str">
        <f>"B1"&amp;B1</f>
        <v>B1</v>
      </c>
      <c r="C12">
        <f>SUM(Jan:Mar!D5)</f>
        <v>0</v>
      </c>
    </row>
    <row r="13" spans="1:3" x14ac:dyDescent="0.25">
      <c r="A13">
        <f>LOG10(B1+10)</f>
        <v>1</v>
      </c>
      <c r="C13">
        <f>SUM(D:D)</f>
        <v>0</v>
      </c>
    </row>
    <row r="14" spans="1:3" x14ac:dyDescent="0.25">
      <c r="A14">
        <f>Refs!B1</f>
        <v>0</v>
      </c>
      <c r="C14">
        <f>SUM(6:7)</f>
        <v>0</v>
      </c>
    </row>
    <row r="15" spans="1:3" x14ac:dyDescent="0.25">
      <c r="A15">
        <f>SUM(Other!B1:B2)</f>
        <v>0</v>
      </c>
      <c r="C15">
        <f>Rate</f>
        <v>0</v>
      </c>
    </row>
    <row r="16" spans="1:3" x14ac:dyDescent="0.25">
      <c r="C16" t="str">
        <f>"B1"&amp;D5</f>
        <v>B1</v>
      </c>
    </row>
    <row r="17" spans="3:3" x14ac:dyDescent="0.25">
      <c r="C17">
        <f>LOG10(D5+10)</f>
        <v>1</v>
      </c>
    </row>
    <row r="18" spans="3:3" x14ac:dyDescent="0.25">
      <c r="C18">
        <f>Refs!D5</f>
        <v>0</v>
      </c>
    </row>
    <row r="19" spans="3:3" x14ac:dyDescent="0.25">
      <c r="C19">
        <f>SUM(Other!D5:D6)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52EC-7178-4458-84CA-DE461A7E2FFA}">
  <dimension ref="E1:E15"/>
  <sheetViews>
    <sheetView workbookViewId="0"/>
  </sheetViews>
  <sheetFormatPr defaultRowHeight="15" x14ac:dyDescent="0.25"/>
  <sheetData>
    <row r="1" spans="5:5" x14ac:dyDescent="0.25">
      <c r="E1">
        <f>F1</f>
        <v>0</v>
      </c>
    </row>
    <row r="2" spans="5:5" x14ac:dyDescent="0.25">
      <c r="E2">
        <f>$B$1</f>
        <v>0</v>
      </c>
    </row>
    <row r="3" spans="5:5" x14ac:dyDescent="0.25">
      <c r="E3">
        <f>F$1</f>
        <v>0</v>
      </c>
    </row>
    <row r="4" spans="5:5" x14ac:dyDescent="0.25">
      <c r="E4">
        <f>$B1</f>
        <v>0</v>
      </c>
    </row>
    <row r="5" spans="5:5" x14ac:dyDescent="0.25">
      <c r="E5">
        <f>SUM(F1:F3)</f>
        <v>0</v>
      </c>
    </row>
    <row r="6" spans="5:5" x14ac:dyDescent="0.25">
      <c r="E6">
        <f>SUM($B$1:F3)</f>
        <v>0</v>
      </c>
    </row>
    <row r="7" spans="5:5" x14ac:dyDescent="0.25">
      <c r="E7">
        <f>Other!F1</f>
        <v>0</v>
      </c>
    </row>
    <row r="8" spans="5:5" x14ac:dyDescent="0.25">
      <c r="E8">
        <f>SUM(Jan:Mar!F1)</f>
        <v>0</v>
      </c>
    </row>
    <row r="9" spans="5:5" x14ac:dyDescent="0.25">
      <c r="E9">
        <f>SUM(F:F)</f>
        <v>0</v>
      </c>
    </row>
    <row r="10" spans="5:5" x14ac:dyDescent="0.25">
      <c r="E10">
        <f>SUM(2:3)</f>
        <v>0</v>
      </c>
    </row>
    <row r="11" spans="5:5" x14ac:dyDescent="0.25">
      <c r="E11">
        <f>Rate</f>
        <v>0</v>
      </c>
    </row>
    <row r="12" spans="5:5" x14ac:dyDescent="0.25">
      <c r="E12" t="str">
        <f>"B1"&amp;F1</f>
        <v>B1</v>
      </c>
    </row>
    <row r="13" spans="5:5" x14ac:dyDescent="0.25">
      <c r="E13">
        <f>LOG10(F1+10)</f>
        <v>1</v>
      </c>
    </row>
    <row r="14" spans="5:5" x14ac:dyDescent="0.25">
      <c r="E14">
        <f>Refs!F1</f>
        <v>0</v>
      </c>
    </row>
    <row r="15" spans="5:5" x14ac:dyDescent="0.25">
      <c r="E15">
        <f>SUM(Other!F1:F2)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4244-A3DD-4AE1-9865-F8E1A4E60F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A3A7-1B26-4A9C-BDC7-90356781F2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56F3-E059-445C-9D18-68C8686882B5}">
  <dimension ref="A1:A16"/>
  <sheetViews>
    <sheetView workbookViewId="0"/>
  </sheetViews>
  <sheetFormatPr defaultRowHeight="15" x14ac:dyDescent="0.25"/>
  <sheetData>
    <row r="1" spans="1:1" x14ac:dyDescent="0.25">
      <c r="A1" t="e">
        <f>#REF!</f>
        <v>#REF!</v>
      </c>
    </row>
    <row r="2" spans="1:1" x14ac:dyDescent="0.25">
      <c r="A2" t="e">
        <f>#REF!</f>
        <v>#REF!</v>
      </c>
    </row>
    <row r="3" spans="1:1" x14ac:dyDescent="0.25">
      <c r="A3" t="e">
        <f>SUM(#REF!)</f>
        <v>#REF!</v>
      </c>
    </row>
    <row r="4" spans="1:1" x14ac:dyDescent="0.25">
      <c r="A4" t="e">
        <f>A$1</f>
        <v>#REF!</v>
      </c>
    </row>
    <row r="5" spans="1:1" x14ac:dyDescent="0.25">
      <c r="A5" t="e">
        <f>SUM(#REF!)</f>
        <v>#REF!</v>
      </c>
    </row>
    <row r="6" spans="1:1" x14ac:dyDescent="0.25">
      <c r="A6" t="e">
        <f>Other!#REF!</f>
        <v>#REF!</v>
      </c>
    </row>
    <row r="7" spans="1:1" x14ac:dyDescent="0.25">
      <c r="A7" t="e">
        <f>SUM(Other!#REF!)</f>
        <v>#REF!</v>
      </c>
    </row>
    <row r="8" spans="1:1" x14ac:dyDescent="0.25">
      <c r="A8" t="e">
        <f>SUM(Jan:Mar!#REF!)</f>
        <v>#REF!</v>
      </c>
    </row>
    <row r="9" spans="1:1" x14ac:dyDescent="0.25">
      <c r="A9">
        <f>Other!$A$1</f>
        <v>0</v>
      </c>
    </row>
    <row r="10" spans="1:1" x14ac:dyDescent="0.25">
      <c r="A10" t="e">
        <f>A$1+#REF!</f>
        <v>#REF!</v>
      </c>
    </row>
    <row r="11" spans="1:1" x14ac:dyDescent="0.25">
      <c r="A11" t="e">
        <f>SUM(#REF!)</f>
        <v>#REF!</v>
      </c>
    </row>
    <row r="12" spans="1:1" x14ac:dyDescent="0.25">
      <c r="A12">
        <f>SUM(B:B)</f>
        <v>0</v>
      </c>
    </row>
    <row r="13" spans="1:1" x14ac:dyDescent="0.25">
      <c r="A13">
        <f>Other!$A$1</f>
        <v>0</v>
      </c>
    </row>
    <row r="14" spans="1:1" x14ac:dyDescent="0.25">
      <c r="A14" t="e">
        <f>A$1+A1</f>
        <v>#REF!</v>
      </c>
    </row>
    <row r="15" spans="1:1" x14ac:dyDescent="0.25">
      <c r="A15" t="e">
        <f>SUM(2:3)</f>
        <v>#REF!</v>
      </c>
    </row>
    <row r="16" spans="1:1" x14ac:dyDescent="0.25">
      <c r="A16">
        <f>SUM(B:B)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63C9-A6C2-49E4-93DF-D2F081C689C5}">
  <dimension ref="A1:G4"/>
  <sheetViews>
    <sheetView workbookViewId="0"/>
  </sheetViews>
  <sheetFormatPr defaultRowHeight="15" x14ac:dyDescent="0.25"/>
  <sheetData>
    <row r="1" spans="1:7" x14ac:dyDescent="0.25">
      <c r="A1" s="7" t="s">
        <v>3</v>
      </c>
      <c r="B1" s="7"/>
    </row>
    <row r="2" spans="1:7" x14ac:dyDescent="0.25">
      <c r="A2" s="7" t="s">
        <v>4</v>
      </c>
      <c r="E2" s="7" t="s">
        <v>3</v>
      </c>
      <c r="F2" s="7"/>
    </row>
    <row r="3" spans="1:7" x14ac:dyDescent="0.25">
      <c r="A3" s="7"/>
      <c r="C3" t="s">
        <v>5</v>
      </c>
      <c r="E3" s="7" t="s">
        <v>4</v>
      </c>
    </row>
    <row r="4" spans="1:7" x14ac:dyDescent="0.25">
      <c r="E4" s="7"/>
      <c r="G4" t="s">
        <v>5</v>
      </c>
    </row>
  </sheetData>
  <mergeCells count="4">
    <mergeCell ref="A1:B1"/>
    <mergeCell ref="A2:A3"/>
    <mergeCell ref="E2:F2"/>
    <mergeCell ref="E3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4AB0-79A5-4F5E-8447-2E3F147CBA69}">
  <dimension ref="A1:D4"/>
  <sheetViews>
    <sheetView workbookViewId="0"/>
  </sheetViews>
  <sheetFormatPr defaultRowHeight="15" x14ac:dyDescent="0.25"/>
  <sheetData>
    <row r="1" spans="1:4" x14ac:dyDescent="0.25">
      <c r="A1" s="7" t="s">
        <v>3</v>
      </c>
      <c r="B1" s="7"/>
      <c r="D1" t="s">
        <v>3</v>
      </c>
    </row>
    <row r="2" spans="1:4" x14ac:dyDescent="0.25">
      <c r="A2" t="s">
        <v>6</v>
      </c>
      <c r="D2" t="s">
        <v>6</v>
      </c>
    </row>
    <row r="3" spans="1:4" x14ac:dyDescent="0.25">
      <c r="A3" s="7" t="s">
        <v>4</v>
      </c>
      <c r="D3" t="s">
        <v>4</v>
      </c>
    </row>
    <row r="4" spans="1:4" x14ac:dyDescent="0.25">
      <c r="A4" s="7"/>
    </row>
  </sheetData>
  <mergeCells count="2">
    <mergeCell ref="A1:B1"/>
    <mergeCell ref="A3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0475-53AB-427D-8901-3E8264363620}">
  <dimension ref="A1:F3"/>
  <sheetViews>
    <sheetView workbookViewId="0"/>
  </sheetViews>
  <sheetFormatPr defaultRowHeight="15" x14ac:dyDescent="0.25"/>
  <sheetData>
    <row r="1" spans="1:6" x14ac:dyDescent="0.25">
      <c r="A1">
        <v>1</v>
      </c>
      <c r="B1">
        <v>4</v>
      </c>
      <c r="E1">
        <v>1</v>
      </c>
      <c r="F1">
        <v>4</v>
      </c>
    </row>
    <row r="2" spans="1:6" x14ac:dyDescent="0.25">
      <c r="A2">
        <v>2</v>
      </c>
      <c r="B2">
        <v>5</v>
      </c>
      <c r="E2">
        <v>2</v>
      </c>
      <c r="F2">
        <v>5</v>
      </c>
    </row>
    <row r="3" spans="1:6" x14ac:dyDescent="0.25">
      <c r="A3">
        <v>3</v>
      </c>
      <c r="B3">
        <v>6</v>
      </c>
      <c r="E3">
        <v>3</v>
      </c>
      <c r="F3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9EDF-85EE-437B-B665-8104F3816BCF}">
  <dimension ref="A1:F3"/>
  <sheetViews>
    <sheetView workbookViewId="0"/>
  </sheetViews>
  <sheetFormatPr defaultRowHeight="15" x14ac:dyDescent="0.25"/>
  <sheetData>
    <row r="1" spans="1:6" x14ac:dyDescent="0.25">
      <c r="A1">
        <v>1</v>
      </c>
    </row>
    <row r="2" spans="1:6" x14ac:dyDescent="0.25">
      <c r="A2">
        <v>2</v>
      </c>
      <c r="E2" s="7"/>
      <c r="F2" s="7"/>
    </row>
    <row r="3" spans="1:6" x14ac:dyDescent="0.25">
      <c r="A3">
        <v>3</v>
      </c>
    </row>
  </sheetData>
  <mergeCells count="1">
    <mergeCell ref="E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109E-233D-4A2C-A8A6-F17F0B73064A}">
  <dimension ref="A1:E4"/>
  <sheetViews>
    <sheetView workbookViewId="0"/>
  </sheetViews>
  <sheetFormatPr defaultRowHeight="15" x14ac:dyDescent="0.25"/>
  <sheetData>
    <row r="1" spans="1:5" x14ac:dyDescent="0.25">
      <c r="A1" t="s">
        <v>7</v>
      </c>
    </row>
    <row r="2" spans="1:5" x14ac:dyDescent="0.25">
      <c r="A2" s="8" t="s">
        <v>8</v>
      </c>
      <c r="B2" t="s">
        <v>10</v>
      </c>
      <c r="D2" t="s">
        <v>7</v>
      </c>
    </row>
    <row r="3" spans="1:5" x14ac:dyDescent="0.25">
      <c r="A3" s="8" t="s">
        <v>9</v>
      </c>
      <c r="D3" s="8" t="s">
        <v>8</v>
      </c>
      <c r="E3" t="s">
        <v>10</v>
      </c>
    </row>
    <row r="4" spans="1:5" x14ac:dyDescent="0.25">
      <c r="D4" s="8" t="s">
        <v>9</v>
      </c>
    </row>
  </sheetData>
  <hyperlinks>
    <hyperlink ref="A2" r:id="rId1" display="https://example.com/a" xr:uid="{0FF8F450-3515-4370-872B-BEE38531E05F}"/>
    <hyperlink ref="A3" location="Notes!C5" display="inside" xr:uid="{7E476A6C-F51D-4769-9AD0-1FAF7A3DB9FD}"/>
    <hyperlink ref="D3" r:id="rId2" display="https://example.com/a" xr:uid="{B83E158F-7F89-4B01-9622-F9D1B7D60D97}"/>
    <hyperlink ref="D4" location="Notes!C5" display="inside" xr:uid="{30FD7FD3-E37F-4500-9385-7D717A27D82E}"/>
  </hyperlinks>
  <pageMargins left="0.7" right="0.7" top="0.75" bottom="0.75" header="0.3" footer="0.3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30EA-65F2-406F-BC85-A8D4A4AB39F8}">
  <dimension ref="A1:C3"/>
  <sheetViews>
    <sheetView workbookViewId="0"/>
  </sheetViews>
  <sheetFormatPr defaultRowHeight="15" x14ac:dyDescent="0.25"/>
  <sheetData>
    <row r="1" spans="1:3" x14ac:dyDescent="0.25">
      <c r="A1" t="s">
        <v>11</v>
      </c>
      <c r="C1" t="s">
        <v>11</v>
      </c>
    </row>
    <row r="2" spans="1:3" x14ac:dyDescent="0.25">
      <c r="A2" t="s">
        <v>12</v>
      </c>
      <c r="C2" t="s">
        <v>12</v>
      </c>
    </row>
    <row r="3" spans="1:3" x14ac:dyDescent="0.25"/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3F16-33A4-44B8-83D0-4627F52B036C}">
  <dimension ref="A1:E5"/>
  <sheetViews>
    <sheetView workbookViewId="0"/>
  </sheetViews>
  <sheetFormatPr defaultRowHeight="15" x14ac:dyDescent="0.25"/>
  <sheetData>
    <row r="1" spans="1:5" x14ac:dyDescent="0.25">
      <c r="A1">
        <v>1</v>
      </c>
      <c r="B1">
        <v>5</v>
      </c>
    </row>
    <row r="2" spans="1:5" x14ac:dyDescent="0.25">
      <c r="A2">
        <v>2</v>
      </c>
      <c r="B2">
        <v>4</v>
      </c>
      <c r="D2">
        <v>1</v>
      </c>
      <c r="E2">
        <v>5</v>
      </c>
    </row>
    <row r="3" spans="1:5" x14ac:dyDescent="0.25">
      <c r="A3">
        <v>3</v>
      </c>
      <c r="B3">
        <v>3</v>
      </c>
      <c r="D3">
        <v>2</v>
      </c>
      <c r="E3">
        <v>4</v>
      </c>
    </row>
    <row r="4" spans="1:5" x14ac:dyDescent="0.25">
      <c r="A4">
        <v>4</v>
      </c>
      <c r="B4">
        <v>2</v>
      </c>
      <c r="D4">
        <v>3</v>
      </c>
      <c r="E4">
        <v>3</v>
      </c>
    </row>
    <row r="5" spans="1:5" x14ac:dyDescent="0.25">
      <c r="A5">
        <v>5</v>
      </c>
      <c r="B5">
        <v>1</v>
      </c>
    </row>
  </sheetData>
  <conditionalFormatting sqref="A1:B5">
    <cfRule type="cellIs" priority="3" stopIfTrue="1" operator="greaterThan">
      <formula>3</formula>
    </cfRule>
  </conditionalFormatting>
  <conditionalFormatting sqref="A1:A3">
    <cfRule type="expression" priority="4" stopIfTrue="1">
      <formula>$A1&gt;B1</formula>
    </cfRule>
  </conditionalFormatting>
  <conditionalFormatting sqref="D2:E4">
    <cfRule type="cellIs" priority="1" stopIfTrue="1" operator="greaterThan">
      <formula>3</formula>
    </cfRule>
  </conditionalFormatting>
  <conditionalFormatting sqref="D2:D4">
    <cfRule type="expression" priority="2" stopIfTrue="1">
      <formula>$A2&gt;E2</formula>
    </cfRule>
  </conditionalFormatting>
  <dataValidations count="1">
    <dataValidation type="list" allowBlank="1" showInputMessage="1" showErrorMessage="1" sqref="A1:A3 D2:D4" xr:uid="{046F31BC-A8FF-406C-9F25-B47834BD02F0}">
      <formula1>$D$10:$D$12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5D96-BCB4-48FE-BEF0-CB0235FDD905}">
  <dimension ref="A1:E4"/>
  <sheetViews>
    <sheetView workbookViewId="0"/>
  </sheetViews>
  <sheetFormatPr defaultRowHeight="15" x14ac:dyDescent="0.25"/>
  <sheetData>
    <row r="1" spans="1:5" x14ac:dyDescent="0.25">
      <c r="A1">
        <v>1</v>
      </c>
      <c r="E1" t="s">
        <v>14</v>
      </c>
    </row>
    <row r="2" spans="1:5" x14ac:dyDescent="0.25">
      <c r="A2">
        <v>2</v>
      </c>
      <c r="E2">
        <v>1</v>
      </c>
    </row>
    <row r="3" spans="1:5" x14ac:dyDescent="0.25">
      <c r="A3">
        <v>3</v>
      </c>
      <c r="E3">
        <v>2</v>
      </c>
    </row>
    <row r="4" spans="1:5" x14ac:dyDescent="0.25">
      <c r="E4">
        <v>3</v>
      </c>
    </row>
  </sheetData>
  <conditionalFormatting sqref="E1:F1 E5:F5 F2:F4">
    <cfRule type="cellIs" priority="1" stopIfTrue="1" operator="greaterThan">
      <formula>100</formula>
    </cfRule>
  </conditionalFormatting>
  <dataValidations count="1">
    <dataValidation type="whole" allowBlank="1" showInputMessage="1" showErrorMessage="1" sqref="E1 E5" xr:uid="{055AC829-D082-4322-AB65-7F6A179073ED}">
      <formula1>0</formula1>
      <formula2>9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96FD-2BF6-4305-98A3-9B73FD923C0D}">
  <dimension ref="A1:C3"/>
  <sheetViews>
    <sheetView workbookViewId="0"/>
  </sheetViews>
  <sheetFormatPr defaultRowHeight="15" x14ac:dyDescent="0.25"/>
  <sheetData>
    <row r="1" spans="1:3" x14ac:dyDescent="0.25">
      <c r="A1">
        <v>1</v>
      </c>
      <c r="C1">
        <v>7</v>
      </c>
    </row>
    <row r="2" spans="1:3" x14ac:dyDescent="0.25">
      <c r="A2">
        <v>2</v>
      </c>
      <c r="C2">
        <v>8</v>
      </c>
    </row>
    <row r="3" spans="1:3" x14ac:dyDescent="0.25">
      <c r="A3">
        <v>3</v>
      </c>
      <c r="C3">
        <v>9</v>
      </c>
    </row>
  </sheetData>
  <conditionalFormatting sqref="A1:A3">
    <cfRule type="expression" priority="1" stopIfTrue="1">
      <formula>A1&gt;$B$1</formula>
    </cfRule>
  </conditionalFormatting>
  <dataValidations count="2">
    <dataValidation type="whole" allowBlank="1" showInputMessage="1" showErrorMessage="1" sqref="A1:A3" xr:uid="{E3A79F7A-FF68-4CB9-9A5E-5C406DB00D37}">
      <formula1>0</formula1>
      <formula2>$B$1</formula2>
    </dataValidation>
    <dataValidation type="custom" allowBlank="1" showInputMessage="1" showErrorMessage="1" sqref="C1:C3" xr:uid="{E7F23DA0-6BE9-4C2E-ABB9-77EBF8EA3CFF}">
      <formula1>C1&gt;0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766E-24E8-489F-B9AF-12C4C89BA8FE}">
  <dimension ref="C2:E6"/>
  <sheetViews>
    <sheetView workbookViewId="0"/>
  </sheetViews>
  <sheetFormatPr defaultRowHeight="15" x14ac:dyDescent="0.25"/>
  <sheetData>
    <row r="2" spans="3:5" x14ac:dyDescent="0.25">
      <c r="C2">
        <v>1</v>
      </c>
    </row>
    <row r="3" spans="3:5" x14ac:dyDescent="0.25">
      <c r="C3">
        <v>2</v>
      </c>
    </row>
    <row r="4" spans="3:5" x14ac:dyDescent="0.25">
      <c r="C4">
        <v>3</v>
      </c>
    </row>
    <row r="5" spans="3:5" x14ac:dyDescent="0.25">
      <c r="E5">
        <v>8</v>
      </c>
    </row>
    <row r="6" spans="3:5" x14ac:dyDescent="0.25">
      <c r="E6">
        <v>9</v>
      </c>
    </row>
  </sheetData>
  <conditionalFormatting sqref="C2:C4">
    <cfRule type="expression" priority="1" stopIfTrue="1">
      <formula>C2&gt;$B$1</formula>
    </cfRule>
  </conditionalFormatting>
  <dataValidations count="2">
    <dataValidation type="whole" allowBlank="1" showInputMessage="1" showErrorMessage="1" sqref="C1:C5" xr:uid="{E439DAF6-A0FA-4014-A8AB-1A269DD7EEE9}">
      <formula1>0</formula1>
      <formula2>$B$1</formula2>
    </dataValidation>
    <dataValidation type="custom" allowBlank="1" showInputMessage="1" showErrorMessage="1" sqref="E5:E6" xr:uid="{F6585EB2-9415-4DD7-8C0D-67B74019785A}">
      <formula1>E5&gt;0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C339-DA3B-4DBB-AA5E-99806BA91906}">
  <dimension ref="A1:A7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f>A3+A4</f>
        <v>3</v>
      </c>
    </row>
    <row r="6" spans="1:1" x14ac:dyDescent="0.25">
      <c r="A6">
        <v>4</v>
      </c>
    </row>
    <row r="7" spans="1:1" x14ac:dyDescent="0.25">
      <c r="A7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02AB-F55C-4B16-9B8D-9B22DAF1459F}">
  <dimension ref="A1:I3"/>
  <sheetViews>
    <sheetView workbookViewId="0"/>
  </sheetViews>
  <sheetFormatPr defaultRowHeight="15" x14ac:dyDescent="0.25"/>
  <sheetData>
    <row r="1" spans="1:9" x14ac:dyDescent="0.25">
      <c r="A1">
        <f t="array" ref="A1:A3">B1:B3*2</f>
        <v>2</v>
      </c>
      <c r="B1">
        <v>1</v>
      </c>
      <c r="C1" cm="1">
        <f t="array" ref="C1:C3">_xlfn.SEQUENCE(3)</f>
        <v>1</v>
      </c>
      <c r="F1">
        <f t="array" ref="F1:F3">G1:G3*2</f>
        <v>8</v>
      </c>
      <c r="G1">
        <f t="array" ref="G1">H1:H3*2</f>
        <v>4</v>
      </c>
      <c r="H1">
        <f t="array" ref="H1:H2">I1:I3*2</f>
        <v>2</v>
      </c>
      <c r="I1" cm="1">
        <f t="array" ref="I1:I3">_xlfn.SEQUENCE(3)</f>
        <v>1</v>
      </c>
    </row>
    <row r="2" spans="1:9" x14ac:dyDescent="0.25">
      <c r="A2">
        <v>4</v>
      </c>
      <c r="B2">
        <v>2</v>
      </c>
      <c r="C2">
        <v>2</v>
      </c>
      <c r="F2">
        <v>0</v>
      </c>
      <c r="H2">
        <v>4</v>
      </c>
      <c r="I2">
        <v>2</v>
      </c>
    </row>
    <row r="3" spans="1:9" x14ac:dyDescent="0.25">
      <c r="A3">
        <v>6</v>
      </c>
      <c r="B3">
        <v>3</v>
      </c>
      <c r="C3">
        <v>3</v>
      </c>
      <c r="F3">
        <v>0</v>
      </c>
      <c r="I3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A1EB-B9F5-4892-A903-02CF4660DE30}">
  <dimension ref="A1:C1"/>
  <sheetViews>
    <sheetView workbookViewId="0"/>
  </sheetViews>
  <sheetFormatPr defaultRowHeight="15" x14ac:dyDescent="0.25"/>
  <sheetData>
    <row r="1" spans="1:3" x14ac:dyDescent="0.25">
      <c r="A1" t="s">
        <v>14</v>
      </c>
      <c r="C1" t="s">
        <v>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0719-8EE7-42B6-95D3-9DAF96E745EB}">
  <dimension ref="A1:C2"/>
  <sheetViews>
    <sheetView workbookViewId="0"/>
  </sheetViews>
  <sheetFormatPr defaultRowHeight="15" x14ac:dyDescent="0.25"/>
  <sheetData>
    <row r="1" spans="1:3" x14ac:dyDescent="0.25">
      <c r="A1" t="e" cm="1" vm="1">
        <f t="array" aca="1" ref="A1" ca="1">_xlfn.SEQUENCE(3)</f>
        <v>#VALUE!</v>
      </c>
      <c r="C1" t="s">
        <v>14</v>
      </c>
    </row>
    <row r="2" spans="1:3" x14ac:dyDescent="0.25">
      <c r="A2" t="s">
        <v>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021E-3ACB-4542-AF01-DC111439549E}">
  <dimension ref="A1:E3"/>
  <sheetViews>
    <sheetView workbookViewId="0"/>
  </sheetViews>
  <sheetFormatPr defaultRowHeight="15" x14ac:dyDescent="0.25"/>
  <sheetData>
    <row r="1" spans="1:5" x14ac:dyDescent="0.25">
      <c r="A1">
        <v>1</v>
      </c>
    </row>
    <row r="2" spans="1:5" x14ac:dyDescent="0.25">
      <c r="A2">
        <v>2</v>
      </c>
      <c r="E2">
        <f t="array" ref="E2:E3">A1:A2*2</f>
        <v>2</v>
      </c>
    </row>
    <row r="3" spans="1:5" x14ac:dyDescent="0.25">
      <c r="A3">
        <v>3</v>
      </c>
      <c r="E3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02B5-381E-4B03-95DF-0306B36B5D2F}">
  <dimension ref="A1:E3"/>
  <sheetViews>
    <sheetView workbookViewId="0"/>
  </sheetViews>
  <sheetFormatPr defaultRowHeight="15" x14ac:dyDescent="0.25"/>
  <sheetData>
    <row r="1" spans="1:5" x14ac:dyDescent="0.25">
      <c r="A1">
        <v>1</v>
      </c>
      <c r="E1">
        <v>1</v>
      </c>
    </row>
    <row r="2" spans="1:5" x14ac:dyDescent="0.25">
      <c r="A2">
        <v>2</v>
      </c>
      <c r="E2">
        <v>2</v>
      </c>
    </row>
    <row r="3" spans="1:5" x14ac:dyDescent="0.25">
      <c r="A3">
        <v>3</v>
      </c>
      <c r="E3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DFAE-6DA9-4ED7-88DE-5BA1BCD456EA}">
  <dimension ref="A1:C6"/>
  <sheetViews>
    <sheetView workbookViewId="0"/>
  </sheetViews>
  <sheetFormatPr defaultRowHeight="15" x14ac:dyDescent="0.25"/>
  <sheetData>
    <row r="1" spans="1:3" x14ac:dyDescent="0.25">
      <c r="A1" t="s">
        <v>16</v>
      </c>
      <c r="C1" t="s">
        <v>16</v>
      </c>
    </row>
    <row r="2" spans="1:3" x14ac:dyDescent="0.25">
      <c r="A2">
        <v>1</v>
      </c>
      <c r="C2">
        <v>1</v>
      </c>
    </row>
    <row r="3" spans="1:3" hidden="1" x14ac:dyDescent="0.25">
      <c r="A3">
        <v>2</v>
      </c>
      <c r="C3">
        <v>2</v>
      </c>
    </row>
    <row r="4" spans="1:3" x14ac:dyDescent="0.25">
      <c r="A4">
        <v>3</v>
      </c>
      <c r="C4">
        <v>3</v>
      </c>
    </row>
    <row r="5" spans="1:3" hidden="1" x14ac:dyDescent="0.25">
      <c r="A5">
        <v>4</v>
      </c>
      <c r="C5">
        <v>4</v>
      </c>
    </row>
    <row r="6" spans="1:3" x14ac:dyDescent="0.25">
      <c r="A6">
        <v>5</v>
      </c>
      <c r="C6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08B7-D7C6-45AF-A298-E6CC81F25E35}">
  <sheetPr filterMode="1"/>
  <dimension ref="A1:F6"/>
  <sheetViews>
    <sheetView workbookViewId="0"/>
  </sheetViews>
  <sheetFormatPr defaultRowHeight="15" x14ac:dyDescent="0.25"/>
  <sheetData>
    <row r="1" spans="1:6" x14ac:dyDescent="0.25">
      <c r="A1" t="s">
        <v>16</v>
      </c>
      <c r="B1" t="s">
        <v>14</v>
      </c>
      <c r="C1" t="s">
        <v>16</v>
      </c>
      <c r="D1" t="s">
        <v>14</v>
      </c>
      <c r="F1">
        <v>1</v>
      </c>
    </row>
    <row r="2" spans="1:6" hidden="1" x14ac:dyDescent="0.25">
      <c r="A2">
        <v>1</v>
      </c>
      <c r="B2" t="s">
        <v>14</v>
      </c>
      <c r="C2">
        <v>3</v>
      </c>
      <c r="D2" t="s">
        <v>14</v>
      </c>
      <c r="F2">
        <v>2</v>
      </c>
    </row>
    <row r="3" spans="1:6" hidden="1" x14ac:dyDescent="0.25">
      <c r="A3">
        <v>2</v>
      </c>
      <c r="B3" t="s">
        <v>14</v>
      </c>
      <c r="C3">
        <v>4</v>
      </c>
      <c r="D3" t="s">
        <v>14</v>
      </c>
    </row>
    <row r="4" spans="1:6" x14ac:dyDescent="0.25">
      <c r="A4">
        <v>3</v>
      </c>
      <c r="B4" t="s">
        <v>14</v>
      </c>
      <c r="C4">
        <v>5</v>
      </c>
      <c r="D4" t="s">
        <v>14</v>
      </c>
    </row>
    <row r="5" spans="1:6" x14ac:dyDescent="0.25">
      <c r="A5">
        <v>4</v>
      </c>
      <c r="B5" t="s">
        <v>14</v>
      </c>
    </row>
    <row r="6" spans="1:6" x14ac:dyDescent="0.25">
      <c r="A6">
        <v>5</v>
      </c>
      <c r="B6" t="s">
        <v>14</v>
      </c>
    </row>
  </sheetData>
  <autoFilter ref="A1:A6" xr:uid="{F13F08B7-D7C6-45AF-A298-E6CC81F25E35}">
    <filterColumn colId="0">
      <customFilters>
        <customFilter operator="greaterThan" val="2"/>
      </custom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2BA1-D569-4459-8C9B-E212636F0B30}">
  <sheetPr filterMode="1"/>
  <dimension ref="A1:C6"/>
  <sheetViews>
    <sheetView workbookViewId="0"/>
  </sheetViews>
  <sheetFormatPr defaultRowHeight="15" x14ac:dyDescent="0.25"/>
  <sheetData>
    <row r="1" spans="1:3" x14ac:dyDescent="0.25">
      <c r="A1" t="s">
        <v>16</v>
      </c>
      <c r="C1" t="s">
        <v>16</v>
      </c>
    </row>
    <row r="2" spans="1:3" x14ac:dyDescent="0.25">
      <c r="A2">
        <v>1</v>
      </c>
      <c r="C2">
        <v>1</v>
      </c>
    </row>
    <row r="3" spans="1:3" hidden="1" x14ac:dyDescent="0.25">
      <c r="A3">
        <v>2</v>
      </c>
      <c r="C3">
        <v>3</v>
      </c>
    </row>
    <row r="4" spans="1:3" x14ac:dyDescent="0.25">
      <c r="A4">
        <v>3</v>
      </c>
      <c r="C4">
        <v>4</v>
      </c>
    </row>
    <row r="5" spans="1:3" x14ac:dyDescent="0.25">
      <c r="A5">
        <v>4</v>
      </c>
      <c r="C5">
        <v>5</v>
      </c>
    </row>
    <row r="6" spans="1:3" x14ac:dyDescent="0.25">
      <c r="A6">
        <v>5</v>
      </c>
    </row>
  </sheetData>
  <autoFilter ref="A1:A6" xr:uid="{B1462BA1-D569-4459-8C9B-E212636F0B30}">
    <filterColumn colId="0">
      <customFilters>
        <customFilter operator="greaterThan" val="0"/>
      </custom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4ADE-D818-44C1-A830-EEE441669C02}">
  <sheetPr filterMode="1"/>
  <dimension ref="A1:F4"/>
  <sheetViews>
    <sheetView workbookViewId="0"/>
  </sheetViews>
  <sheetFormatPr defaultRowHeight="15" x14ac:dyDescent="0.25"/>
  <cols>
    <col min="2" max="2" width="0" hidden="1" customWidth="1"/>
  </cols>
  <sheetData>
    <row r="1" spans="1:6" x14ac:dyDescent="0.25">
      <c r="A1" t="s">
        <v>16</v>
      </c>
      <c r="B1" t="s">
        <v>17</v>
      </c>
      <c r="C1" t="s">
        <v>18</v>
      </c>
      <c r="E1" t="s">
        <v>16</v>
      </c>
      <c r="F1" t="s">
        <v>18</v>
      </c>
    </row>
    <row r="2" spans="1:6" hidden="1" x14ac:dyDescent="0.25">
      <c r="A2">
        <v>1</v>
      </c>
      <c r="B2">
        <v>4</v>
      </c>
      <c r="C2">
        <v>7</v>
      </c>
      <c r="E2">
        <v>2</v>
      </c>
      <c r="F2">
        <v>8</v>
      </c>
    </row>
    <row r="3" spans="1:6" x14ac:dyDescent="0.25">
      <c r="A3">
        <v>2</v>
      </c>
      <c r="B3">
        <v>5</v>
      </c>
      <c r="C3">
        <v>8</v>
      </c>
      <c r="E3">
        <v>3</v>
      </c>
      <c r="F3">
        <v>9</v>
      </c>
    </row>
    <row r="4" spans="1:6" x14ac:dyDescent="0.25">
      <c r="A4">
        <v>3</v>
      </c>
      <c r="B4">
        <v>6</v>
      </c>
      <c r="C4">
        <v>9</v>
      </c>
    </row>
  </sheetData>
  <autoFilter ref="A1:C4" xr:uid="{69824ADE-D818-44C1-A830-EEE441669C02}">
    <filterColumn colId="0">
      <customFilters>
        <customFilter operator="greaterThan" val="1"/>
      </custom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B8E0-6872-4F28-87CC-DF2B587A9369}">
  <dimension ref="A1:C6"/>
  <sheetViews>
    <sheetView workbookViewId="0"/>
  </sheetViews>
  <sheetFormatPr defaultRowHeight="15" x14ac:dyDescent="0.25"/>
  <sheetData>
    <row r="1" spans="1:3" x14ac:dyDescent="0.25">
      <c r="A1" t="s">
        <v>16</v>
      </c>
      <c r="C1" s="9">
        <v>1</v>
      </c>
    </row>
    <row r="2" spans="1:3" hidden="1" x14ac:dyDescent="0.25">
      <c r="A2">
        <v>1</v>
      </c>
      <c r="C2" s="9">
        <v>2</v>
      </c>
    </row>
    <row r="3" spans="1:3" hidden="1" x14ac:dyDescent="0.25">
      <c r="A3">
        <v>2</v>
      </c>
      <c r="C3" s="10">
        <v>3</v>
      </c>
    </row>
    <row r="4" spans="1:3" x14ac:dyDescent="0.25">
      <c r="A4">
        <v>3</v>
      </c>
      <c r="C4" s="11">
        <v>4</v>
      </c>
    </row>
    <row r="5" spans="1:3" x14ac:dyDescent="0.25">
      <c r="A5">
        <v>4</v>
      </c>
      <c r="C5" s="10">
        <v>5</v>
      </c>
    </row>
    <row r="6" spans="1:3" x14ac:dyDescent="0.25">
      <c r="A6">
        <v>5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D676-EC76-4C8E-B3BE-12F29C6D71A1}">
  <dimension ref="A1:D5"/>
  <sheetViews>
    <sheetView workbookViewId="0"/>
  </sheetViews>
  <sheetFormatPr defaultRowHeight="15" x14ac:dyDescent="0.25"/>
  <sheetData>
    <row r="1" spans="1:4" x14ac:dyDescent="0.25">
      <c r="A1">
        <f t="shared" ref="A1:A4" si="0">B1*2</f>
        <v>2</v>
      </c>
      <c r="B1">
        <v>1</v>
      </c>
    </row>
    <row r="2" spans="1:4" x14ac:dyDescent="0.25">
      <c r="A2">
        <f t="shared" si="0"/>
        <v>4</v>
      </c>
      <c r="B2">
        <v>2</v>
      </c>
      <c r="D2">
        <f t="shared" ref="D2:D5" si="1">E2*2</f>
        <v>0</v>
      </c>
    </row>
    <row r="3" spans="1:4" x14ac:dyDescent="0.25">
      <c r="A3">
        <f t="shared" si="0"/>
        <v>6</v>
      </c>
      <c r="B3">
        <v>3</v>
      </c>
      <c r="D3">
        <f t="shared" si="1"/>
        <v>0</v>
      </c>
    </row>
    <row r="4" spans="1:4" x14ac:dyDescent="0.25">
      <c r="A4">
        <f t="shared" si="0"/>
        <v>8</v>
      </c>
      <c r="B4">
        <v>4</v>
      </c>
      <c r="D4">
        <f t="shared" si="1"/>
        <v>0</v>
      </c>
    </row>
    <row r="5" spans="1:4" x14ac:dyDescent="0.25">
      <c r="D5">
        <f t="shared" si="1"/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6FC8-BB20-4BC9-B4CF-3D230AF3DAB0}">
  <dimension ref="A1:U6"/>
  <sheetViews>
    <sheetView workbookViewId="0"/>
  </sheetViews>
  <sheetFormatPr defaultRowHeight="15" x14ac:dyDescent="0.25"/>
  <sheetData>
    <row r="1" spans="1:21" x14ac:dyDescent="0.25">
      <c r="A1">
        <f>ROW()</f>
        <v>1</v>
      </c>
      <c r="B1" t="s">
        <v>11</v>
      </c>
      <c r="D1">
        <f>ROW()</f>
        <v>1</v>
      </c>
      <c r="E1">
        <f>ROW()</f>
        <v>1</v>
      </c>
      <c r="G1">
        <f>ROW()</f>
        <v>1</v>
      </c>
      <c r="I1">
        <f>ROW()</f>
        <v>1</v>
      </c>
      <c r="K1">
        <f>ROW()</f>
        <v>1</v>
      </c>
      <c r="L1" t="s">
        <v>11</v>
      </c>
      <c r="M1">
        <f>ROW()</f>
        <v>1</v>
      </c>
      <c r="N1" t="s">
        <v>11</v>
      </c>
      <c r="P1">
        <f>ROW()</f>
        <v>1</v>
      </c>
      <c r="Q1" t="s">
        <v>11</v>
      </c>
      <c r="U1">
        <f>ROW()</f>
        <v>1</v>
      </c>
    </row>
    <row r="2" spans="1:21" x14ac:dyDescent="0.25">
      <c r="A2" t="str">
        <f>B1</f>
        <v>a</v>
      </c>
      <c r="B2" t="s">
        <v>12</v>
      </c>
      <c r="D2">
        <f>ROW()</f>
        <v>2</v>
      </c>
      <c r="E2">
        <f>ROW()</f>
        <v>2</v>
      </c>
      <c r="G2">
        <f t="shared" ref="G2:G6" si="0">H1</f>
        <v>0</v>
      </c>
      <c r="I2">
        <f>J1</f>
        <v>0</v>
      </c>
      <c r="K2" t="str">
        <f t="shared" ref="K2:N4" si="1">L1</f>
        <v>a</v>
      </c>
      <c r="L2" t="s">
        <v>12</v>
      </c>
      <c r="M2" t="str">
        <f t="shared" ref="M2:N4" si="2">N1</f>
        <v>a</v>
      </c>
      <c r="N2" t="s">
        <v>12</v>
      </c>
      <c r="P2" t="str">
        <f>Q1</f>
        <v>a</v>
      </c>
      <c r="Q2" t="s">
        <v>12</v>
      </c>
      <c r="U2">
        <f>V1</f>
        <v>0</v>
      </c>
    </row>
    <row r="3" spans="1:21" x14ac:dyDescent="0.25">
      <c r="A3">
        <f>C1</f>
        <v>0</v>
      </c>
      <c r="B3" t="s">
        <v>13</v>
      </c>
      <c r="D3">
        <f>ROW()</f>
        <v>3</v>
      </c>
      <c r="E3">
        <f>ROW()</f>
        <v>3</v>
      </c>
      <c r="G3">
        <f>ROW()</f>
        <v>3</v>
      </c>
      <c r="K3">
        <f>ROW()</f>
        <v>3</v>
      </c>
      <c r="L3" t="s">
        <v>11</v>
      </c>
      <c r="M3">
        <f>ROW()</f>
        <v>3</v>
      </c>
      <c r="N3" t="s">
        <v>11</v>
      </c>
      <c r="U3">
        <f>W1</f>
        <v>0</v>
      </c>
    </row>
    <row r="4" spans="1:21" x14ac:dyDescent="0.25">
      <c r="G4">
        <f t="shared" ref="G4:G6" si="3">H3</f>
        <v>0</v>
      </c>
      <c r="K4" t="str">
        <f t="shared" ref="K4:N4" si="4">L3</f>
        <v>a</v>
      </c>
      <c r="L4" t="s">
        <v>12</v>
      </c>
      <c r="M4" t="str">
        <f t="shared" ref="M4:N4" si="5">N3</f>
        <v>a</v>
      </c>
      <c r="N4" t="s">
        <v>12</v>
      </c>
    </row>
    <row r="5" spans="1:21" x14ac:dyDescent="0.25">
      <c r="G5">
        <f>ROW()</f>
        <v>5</v>
      </c>
    </row>
    <row r="6" spans="1:21" x14ac:dyDescent="0.25">
      <c r="G6">
        <f t="shared" ref="G6" si="6">H5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DBA3-A5AA-4BB3-BF2C-1D0798BE85B1}">
  <dimension ref="A1:C2"/>
  <sheetViews>
    <sheetView workbookViewId="0"/>
  </sheetViews>
  <sheetFormatPr defaultRowHeight="15" x14ac:dyDescent="0.25"/>
  <sheetData>
    <row r="1" spans="1:3" x14ac:dyDescent="0.25">
      <c r="A1" s="4"/>
      <c r="C1" s="4"/>
    </row>
    <row r="2" spans="1:3" x14ac:dyDescent="0.25">
      <c r="A2" s="2"/>
      <c r="C2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434C-E68D-4A8E-B5B0-16F18EEDD85E}">
  <dimension ref="A1:D7"/>
  <sheetViews>
    <sheetView workbookViewId="0"/>
  </sheetViews>
  <sheetFormatPr defaultRowHeight="15" x14ac:dyDescent="0.25"/>
  <cols>
    <col min="1" max="1" width="20.7109375" customWidth="1"/>
  </cols>
  <sheetData>
    <row r="1" spans="1:4" x14ac:dyDescent="0.25">
      <c r="A1">
        <v>1</v>
      </c>
    </row>
    <row r="2" spans="1:4" ht="30" customHeight="1" x14ac:dyDescent="0.25">
      <c r="A2">
        <v>2</v>
      </c>
    </row>
    <row r="3" spans="1:4" x14ac:dyDescent="0.25">
      <c r="A3">
        <v>3</v>
      </c>
    </row>
    <row r="5" spans="1:4" x14ac:dyDescent="0.25">
      <c r="D5">
        <v>1</v>
      </c>
    </row>
    <row r="6" spans="1:4" x14ac:dyDescent="0.25">
      <c r="D6">
        <v>2</v>
      </c>
    </row>
    <row r="7" spans="1:4" x14ac:dyDescent="0.25">
      <c r="D7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7CFF-02E7-4ABA-AF55-164DEF8E0335}">
  <dimension ref="A1:A8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hidden="1" x14ac:dyDescent="0.25">
      <c r="A2">
        <v>2</v>
      </c>
    </row>
    <row r="3" spans="1:1" s="6" customFormat="1" ht="24.95" customHeight="1" x14ac:dyDescent="0.25">
      <c r="A3" s="6">
        <v>3</v>
      </c>
    </row>
    <row r="6" spans="1:1" x14ac:dyDescent="0.25">
      <c r="A6">
        <v>1</v>
      </c>
    </row>
    <row r="7" spans="1:1" hidden="1" x14ac:dyDescent="0.25">
      <c r="A7">
        <v>2</v>
      </c>
    </row>
    <row r="8" spans="1:1" s="6" customFormat="1" ht="24.95" customHeight="1" x14ac:dyDescent="0.25">
      <c r="A8" s="6">
        <v>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0B0A-35B1-4A19-A712-CB927391E52A}">
  <dimension ref="A1:D3"/>
  <sheetViews>
    <sheetView workbookViewId="0"/>
  </sheetViews>
  <sheetFormatPr defaultRowHeight="15" x14ac:dyDescent="0.25"/>
  <cols>
    <col min="1" max="1" width="20.7109375" customWidth="1"/>
    <col min="4" max="4" width="20.7109375" customWidth="1"/>
  </cols>
  <sheetData>
    <row r="1" spans="1:4" x14ac:dyDescent="0.25">
      <c r="A1">
        <v>1</v>
      </c>
      <c r="D1">
        <v>1</v>
      </c>
    </row>
    <row r="2" spans="1:4" x14ac:dyDescent="0.25">
      <c r="A2">
        <v>2</v>
      </c>
      <c r="D2">
        <v>2</v>
      </c>
    </row>
    <row r="3" spans="1:4" x14ac:dyDescent="0.25">
      <c r="A3">
        <v>3</v>
      </c>
      <c r="D3">
        <v>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1164-78AA-4B66-A6EE-D90A744C9E5D}">
  <dimension ref="A1:E4"/>
  <sheetViews>
    <sheetView workbookViewId="0"/>
  </sheetViews>
  <sheetFormatPr defaultRowHeight="15" x14ac:dyDescent="0.25"/>
  <sheetData>
    <row r="1" spans="1:5" x14ac:dyDescent="0.25">
      <c r="A1" t="s">
        <v>19</v>
      </c>
      <c r="B1" t="s">
        <v>20</v>
      </c>
      <c r="E1" t="s">
        <v>14</v>
      </c>
    </row>
    <row r="2" spans="1:5" x14ac:dyDescent="0.25">
      <c r="A2" t="s">
        <v>14</v>
      </c>
      <c r="B2">
        <v>1</v>
      </c>
      <c r="E2" t="s">
        <v>15</v>
      </c>
    </row>
    <row r="3" spans="1:5" x14ac:dyDescent="0.25">
      <c r="A3" t="s">
        <v>15</v>
      </c>
      <c r="B3">
        <v>2</v>
      </c>
    </row>
    <row r="4" spans="1:5" x14ac:dyDescent="0.25">
      <c r="A4" t="s">
        <v>13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7A57-7F3A-4396-ADD7-69DDCBF4FC69}">
  <dimension ref="A1:G4"/>
  <sheetViews>
    <sheetView workbookViewId="0"/>
  </sheetViews>
  <sheetFormatPr defaultRowHeight="15" x14ac:dyDescent="0.25"/>
  <sheetData>
    <row r="1" spans="1:7" x14ac:dyDescent="0.25">
      <c r="A1" t="s">
        <v>19</v>
      </c>
      <c r="B1" t="s">
        <v>20</v>
      </c>
      <c r="C1" t="s">
        <v>21</v>
      </c>
    </row>
    <row r="2" spans="1:7" x14ac:dyDescent="0.25">
      <c r="A2" t="s">
        <v>11</v>
      </c>
      <c r="B2">
        <v>1</v>
      </c>
      <c r="C2">
        <f>Part[[#This Row],[n]]*2</f>
        <v>2</v>
      </c>
      <c r="E2" s="12" t="s">
        <v>11</v>
      </c>
      <c r="F2" s="13">
        <v>1</v>
      </c>
      <c r="G2" s="14">
        <f>Part[[#This Row],[n]]*2</f>
        <v>2</v>
      </c>
    </row>
    <row r="3" spans="1:7" x14ac:dyDescent="0.25">
      <c r="A3" t="s">
        <v>12</v>
      </c>
      <c r="B3">
        <v>2</v>
      </c>
      <c r="C3">
        <f>Part[[#This Row],[n]]*2</f>
        <v>4</v>
      </c>
      <c r="E3" s="15" t="s">
        <v>12</v>
      </c>
      <c r="F3" s="9">
        <v>2</v>
      </c>
      <c r="G3" s="16">
        <f>Part[[#This Row],[n]]*2</f>
        <v>4</v>
      </c>
    </row>
    <row r="4" spans="1:7" x14ac:dyDescent="0.25">
      <c r="A4" t="s">
        <v>13</v>
      </c>
      <c r="B4">
        <v>3</v>
      </c>
      <c r="C4">
        <f>Part[[#This Row],[n]]*2</f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</vt:i4>
      </vt:variant>
    </vt:vector>
  </HeadingPairs>
  <TitlesOfParts>
    <vt:vector size="36" baseType="lpstr">
      <vt:lpstr>Kinds</vt:lpstr>
      <vt:lpstr>Refs</vt:lpstr>
      <vt:lpstr>Other</vt:lpstr>
      <vt:lpstr>Jan</vt:lpstr>
      <vt:lpstr>Mar</vt:lpstr>
      <vt:lpstr>OffSheet</vt:lpstr>
      <vt:lpstr>Merged</vt:lpstr>
      <vt:lpstr>MergeEdge</vt:lpstr>
      <vt:lpstr>MergedWhole</vt:lpstr>
      <vt:lpstr>MergedPart</vt:lpstr>
      <vt:lpstr>Notes</vt:lpstr>
      <vt:lpstr>Over</vt:lpstr>
      <vt:lpstr>Rules</vt:lpstr>
      <vt:lpstr>Onto</vt:lpstr>
      <vt:lpstr>From</vt:lpstr>
      <vt:lpstr>To</vt:lpstr>
      <vt:lpstr>Overlap</vt:lpstr>
      <vt:lpstr>Arrays</vt:lpstr>
      <vt:lpstr>SpillAnchor</vt:lpstr>
      <vt:lpstr>SpillOver</vt:lpstr>
      <vt:lpstr>ArrayCut</vt:lpstr>
      <vt:lpstr>ArrayWhole</vt:lpstr>
      <vt:lpstr>Hidden</vt:lpstr>
      <vt:lpstr>Filtered</vt:lpstr>
      <vt:lpstr>FilterHand</vt:lpstr>
      <vt:lpstr>HiddenColumn</vt:lpstr>
      <vt:lpstr>TableRows</vt:lpstr>
      <vt:lpstr>Shared</vt:lpstr>
      <vt:lpstr>Tile</vt:lpstr>
      <vt:lpstr>Blanks</vt:lpstr>
      <vt:lpstr>Sizes</vt:lpstr>
      <vt:lpstr>WholeRows</vt:lpstr>
      <vt:lpstr>WholeColumns</vt:lpstr>
      <vt:lpstr>IntoTable</vt:lpstr>
      <vt:lpstr>PartOut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2026-09-26T19:26:55Z</dcterms:created>
  <dcterms:modified xsi:type="dcterms:W3CDTF">2026-09-26T19:26:58Z</dcterms:modified>
</cp:coreProperties>
</file>
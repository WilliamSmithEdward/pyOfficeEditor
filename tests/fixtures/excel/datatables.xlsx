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44AA165C-32BE-4392-9FA0-02195C45BED5}" xr6:coauthVersionLast="47" xr6:coauthVersionMax="47" xr10:uidLastSave="{00000000-0000-0000-0000-000000000000}"/>
  <bookViews>
    <workbookView xWindow="-120" yWindow="-120" windowWidth="10800" windowHeight="19485" activeTab="3" xr2:uid="{0CD9AF29-0280-4843-9A42-AF0F9F7DEC7B}"/>
  </bookViews>
  <sheets>
    <sheet name="Model" sheetId="1" r:id="rId1"/>
    <sheet name="Side" sheetId="2" r:id="rId2"/>
    <sheet name="Moved" sheetId="3" r:id="rId3"/>
    <sheet name="Besid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5" i="3" l="1"/>
  <c r="D23" i="3"/>
  <c r="B5" i="3"/>
  <c r="E20" i="3" s="1"/>
  <c r="B4" i="3"/>
  <c r="B9" i="3" s="1"/>
  <c r="D25" i="1"/>
  <c r="D23" i="1"/>
  <c r="B5" i="1"/>
  <c r="E20" i="1" s="1"/>
  <c r="B4" i="1"/>
  <c r="B9" i="1" s="1"/>
  <c r="M11" i="3" l="1"/>
  <c r="Q11" i="3"/>
  <c r="H3" i="3"/>
  <c r="D11" i="3"/>
  <c r="E2" i="3"/>
  <c r="B6" i="3"/>
  <c r="M11" i="1"/>
  <c r="Q11" i="1"/>
  <c r="H3" i="1"/>
  <c r="D11" i="1"/>
  <c r="E2" i="1"/>
  <c r="B6" i="1"/>
  <c r="B7" i="3" l="1"/>
  <c r="F2" i="3"/>
  <c r="B7" i="1"/>
  <c r="F2" i="1"/>
  <c r="B10" i="3" l="1"/>
  <c r="N11" i="3" s="1"/>
  <c r="A1" i="4"/>
  <c r="B8" i="3" s="1"/>
  <c r="L11" i="3" s="1"/>
  <c r="B10" i="1"/>
  <c r="N11" i="1" s="1"/>
  <c r="A1" i="2"/>
  <c r="B8" i="1" s="1"/>
  <c r="L11" i="1" s="1"/>
</calcChain>
</file>

<file path=xl/sharedStrings.xml><?xml version="1.0" encoding="utf-8"?>
<sst xmlns="http://schemas.openxmlformats.org/spreadsheetml/2006/main" count="12" uniqueCount="6">
  <si>
    <t>Rate</t>
  </si>
  <si>
    <t>Years</t>
  </si>
  <si>
    <t>Principal</t>
  </si>
  <si>
    <t>Double rate</t>
  </si>
  <si>
    <t>Payment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</si>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</sst>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7F360-8A14-4774-8B3B-98F2940BD3CE}">
  <sheetPr codeName="Sheet1"/>
  <dimension ref="A1:Q25"/>
  <sheetViews>
    <sheetView workbookViewId="0"/>
  </sheetViews>
  <sheetFormatPr defaultRowHeight="15" x14ac:dyDescent="0.25"/>
  <sheetData>
    <row r="1" spans="1:17" x14ac:dyDescent="0.25">
      <c r="A1" t="s">
        <v>0</v>
      </c>
      <c r="B1">
        <v>0.05</v>
      </c>
    </row>
    <row r="2" spans="1:17" x14ac:dyDescent="0.25">
      <c r="A2" t="s">
        <v>1</v>
      </c>
      <c r="B2">
        <v>30</v>
      </c>
      <c r="E2" s="1">
        <f>B5</f>
        <v>1342.0540575303476</v>
      </c>
      <c r="F2">
        <f>B6</f>
        <v>483139.46071092517</v>
      </c>
      <c r="I2">
        <v>10</v>
      </c>
      <c r="J2">
        <v>15</v>
      </c>
      <c r="K2">
        <v>20</v>
      </c>
      <c r="L2">
        <v>25</v>
      </c>
      <c r="M2">
        <v>30</v>
      </c>
    </row>
    <row r="3" spans="1:17" x14ac:dyDescent="0.25">
      <c r="A3" t="s">
        <v>2</v>
      </c>
      <c r="B3">
        <v>250000</v>
      </c>
      <c r="D3">
        <v>0.03</v>
      </c>
      <c r="E3">
        <f t="dataTable" ref="E3:F8" dt2D="0" dtr="0" r1="B1" ca="1"/>
        <v>1054.0100843236262</v>
      </c>
      <c r="F3">
        <v>379443.6303565054</v>
      </c>
      <c r="H3" s="1">
        <f>B5</f>
        <v>1342.0540575303476</v>
      </c>
      <c r="I3">
        <f t="dataTable" ref="I3:M3" dt2D="0" dtr="1" r1="B2" ca="1"/>
        <v>2651.6378809768808</v>
      </c>
      <c r="J3">
        <v>1976.9840668538613</v>
      </c>
      <c r="K3">
        <v>1649.8893480416436</v>
      </c>
      <c r="L3">
        <v>1461.4751037699477</v>
      </c>
      <c r="M3">
        <v>1342.0540575303476</v>
      </c>
    </row>
    <row r="4" spans="1:17" x14ac:dyDescent="0.25">
      <c r="A4" t="s">
        <v>3</v>
      </c>
      <c r="B4">
        <f>B1*2</f>
        <v>0.1</v>
      </c>
      <c r="D4">
        <v>0.04</v>
      </c>
      <c r="E4">
        <v>1193.5382386636488</v>
      </c>
      <c r="F4">
        <v>429673.76591891359</v>
      </c>
    </row>
    <row r="5" spans="1:17" x14ac:dyDescent="0.25">
      <c r="A5" t="s">
        <v>4</v>
      </c>
      <c r="B5" s="1">
        <f>PMT(B1/12,B2*12,-B3)</f>
        <v>1342.0540575303476</v>
      </c>
      <c r="D5">
        <v>0.05</v>
      </c>
      <c r="E5">
        <v>1342.0540575303476</v>
      </c>
      <c r="F5">
        <v>483139.46071092517</v>
      </c>
    </row>
    <row r="6" spans="1:17" x14ac:dyDescent="0.25">
      <c r="B6">
        <f>B5*B2*12</f>
        <v>483139.46071092517</v>
      </c>
      <c r="D6">
        <v>0.06</v>
      </c>
      <c r="E6">
        <v>1498.8763128818807</v>
      </c>
      <c r="F6">
        <v>539595.4726374771</v>
      </c>
    </row>
    <row r="7" spans="1:17" x14ac:dyDescent="0.25">
      <c r="B7">
        <f>B6-B3</f>
        <v>233139.46071092517</v>
      </c>
      <c r="D7">
        <v>7.0000000000000007E-2</v>
      </c>
      <c r="E7">
        <v>1663.256237947958</v>
      </c>
      <c r="F7">
        <v>598772.24566126487</v>
      </c>
    </row>
    <row r="8" spans="1:17" x14ac:dyDescent="0.25">
      <c r="B8">
        <f>Side!A1+1</f>
        <v>116570.73035546258</v>
      </c>
      <c r="D8">
        <v>0.08</v>
      </c>
      <c r="E8">
        <v>1834.4114346984406</v>
      </c>
      <c r="F8">
        <v>660388.11649143859</v>
      </c>
    </row>
    <row r="9" spans="1:17" x14ac:dyDescent="0.25">
      <c r="B9">
        <f>B4*1000+B3/1000</f>
        <v>350</v>
      </c>
    </row>
    <row r="10" spans="1:17" x14ac:dyDescent="0.25">
      <c r="B10">
        <f>IF(B1&gt;0.06,B6,B7)</f>
        <v>233139.46071092517</v>
      </c>
    </row>
    <row r="11" spans="1:17" x14ac:dyDescent="0.25">
      <c r="D11" s="1">
        <f>B5</f>
        <v>1342.0540575303476</v>
      </c>
      <c r="E11">
        <v>10</v>
      </c>
      <c r="F11">
        <v>15</v>
      </c>
      <c r="G11">
        <v>20</v>
      </c>
      <c r="H11">
        <v>25</v>
      </c>
      <c r="I11">
        <v>30</v>
      </c>
      <c r="L11">
        <f>B8</f>
        <v>116570.73035546258</v>
      </c>
      <c r="M11">
        <f>B9</f>
        <v>350</v>
      </c>
      <c r="N11">
        <f>B10</f>
        <v>233139.46071092517</v>
      </c>
      <c r="Q11">
        <f>B9</f>
        <v>350</v>
      </c>
    </row>
    <row r="12" spans="1:17" x14ac:dyDescent="0.25">
      <c r="D12">
        <v>0.03</v>
      </c>
      <c r="E12">
        <f t="dataTable" ref="E12:I16" dt2D="1" dtr="1" r1="B2" r2="B1" ca="1"/>
        <v>2414.0186174597384</v>
      </c>
      <c r="F12">
        <v>1726.4541006949751</v>
      </c>
      <c r="G12">
        <v>1386.4939946347802</v>
      </c>
      <c r="H12">
        <v>1185.5282846441826</v>
      </c>
      <c r="I12">
        <v>1054.0100843236262</v>
      </c>
      <c r="K12">
        <v>0.04</v>
      </c>
      <c r="L12">
        <f t="dataTable" ref="L12:N16" dt2D="0" dtr="0" r1="B1" ca="1"/>
        <v>89837.882959456794</v>
      </c>
      <c r="M12">
        <v>330</v>
      </c>
      <c r="N12">
        <v>179673.76591891359</v>
      </c>
      <c r="P12">
        <v>0.1</v>
      </c>
      <c r="Q12">
        <f t="dataTable" ref="Q12:Q13" dt2D="0" dtr="0" r1="B4" ca="1"/>
        <v>350</v>
      </c>
    </row>
    <row r="13" spans="1:17" x14ac:dyDescent="0.25">
      <c r="D13">
        <v>0.04</v>
      </c>
      <c r="E13">
        <v>2531.1284541220371</v>
      </c>
      <c r="F13">
        <v>1849.2198140231753</v>
      </c>
      <c r="G13">
        <v>1514.9508232485466</v>
      </c>
      <c r="H13">
        <v>1319.5921007444433</v>
      </c>
      <c r="I13">
        <v>1193.5382386636488</v>
      </c>
      <c r="K13">
        <v>0.05</v>
      </c>
      <c r="L13">
        <v>116570.73035546258</v>
      </c>
      <c r="M13">
        <v>350</v>
      </c>
      <c r="N13">
        <v>233139.46071092517</v>
      </c>
      <c r="P13">
        <v>0.2</v>
      </c>
      <c r="Q13">
        <v>450</v>
      </c>
    </row>
    <row r="14" spans="1:17" x14ac:dyDescent="0.25">
      <c r="D14">
        <v>0.05</v>
      </c>
      <c r="E14">
        <v>2651.6378809768808</v>
      </c>
      <c r="F14">
        <v>1976.9840668538613</v>
      </c>
      <c r="G14">
        <v>1649.8893480416436</v>
      </c>
      <c r="H14">
        <v>1461.4751037699477</v>
      </c>
      <c r="I14">
        <v>1342.0540575303476</v>
      </c>
      <c r="K14">
        <v>0.06</v>
      </c>
      <c r="L14">
        <v>144798.73631873855</v>
      </c>
      <c r="M14">
        <v>370</v>
      </c>
      <c r="N14">
        <v>289595.4726374771</v>
      </c>
    </row>
    <row r="15" spans="1:17" x14ac:dyDescent="0.25">
      <c r="D15">
        <v>0.06</v>
      </c>
      <c r="E15">
        <v>2775.5125485412359</v>
      </c>
      <c r="F15">
        <v>2109.6420701211282</v>
      </c>
      <c r="G15">
        <v>1791.0776461954122</v>
      </c>
      <c r="H15">
        <v>1610.7535037137714</v>
      </c>
      <c r="I15">
        <v>1498.8763128818807</v>
      </c>
      <c r="K15">
        <v>7.0000000000000007E-2</v>
      </c>
      <c r="L15">
        <v>174387.12283063243</v>
      </c>
      <c r="M15">
        <v>390</v>
      </c>
      <c r="N15">
        <v>598772.24566126487</v>
      </c>
    </row>
    <row r="16" spans="1:17" x14ac:dyDescent="0.25">
      <c r="D16">
        <v>7.0000000000000007E-2</v>
      </c>
      <c r="E16">
        <v>2902.7119804656013</v>
      </c>
      <c r="F16">
        <v>2247.0706771310679</v>
      </c>
      <c r="G16">
        <v>1938.2473390471864</v>
      </c>
      <c r="H16">
        <v>1766.9479931877295</v>
      </c>
      <c r="I16">
        <v>1663.256237947958</v>
      </c>
      <c r="K16">
        <v>0.08</v>
      </c>
      <c r="L16">
        <v>205195.05824571929</v>
      </c>
      <c r="M16">
        <v>410</v>
      </c>
      <c r="N16">
        <v>660388.11649143859</v>
      </c>
    </row>
    <row r="20" spans="4:5" x14ac:dyDescent="0.25">
      <c r="E20" s="1">
        <f>B5</f>
        <v>1342.0540575303476</v>
      </c>
    </row>
    <row r="21" spans="4:5" x14ac:dyDescent="0.25">
      <c r="D21">
        <v>0.04</v>
      </c>
      <c r="E21">
        <f t="dataTable" ref="E21:E25" dt2D="0" dtr="0" r1="B1"/>
        <v>1193.5382386636488</v>
      </c>
    </row>
    <row r="22" spans="4:5" x14ac:dyDescent="0.25">
      <c r="E22">
        <v>694.44444444444446</v>
      </c>
    </row>
    <row r="23" spans="4:5" x14ac:dyDescent="0.25">
      <c r="D23" t="e">
        <f>NA()</f>
        <v>#N/A</v>
      </c>
      <c r="E23" t="e">
        <v>#N/A</v>
      </c>
    </row>
    <row r="24" spans="4:5" x14ac:dyDescent="0.25">
      <c r="D24" t="s">
        <v>5</v>
      </c>
      <c r="E24" t="e">
        <v>#VALUE!</v>
      </c>
    </row>
    <row r="25" spans="4:5" x14ac:dyDescent="0.25">
      <c r="D25">
        <f>0.01*ROW()/5</f>
        <v>0.05</v>
      </c>
      <c r="E25">
        <v>1342.0540575303476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AD1F-1F72-4FEF-928C-A9729976F57D}">
  <dimension ref="A1"/>
  <sheetViews>
    <sheetView workbookViewId="0"/>
  </sheetViews>
  <sheetFormatPr defaultRowHeight="15" x14ac:dyDescent="0.25"/>
  <sheetData>
    <row r="1" spans="1:1" x14ac:dyDescent="0.25">
      <c r="A1">
        <f>Model!B7/2</f>
        <v>116569.73035546258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81B6-FAAB-45B2-B258-584FCC50A49A}">
  <dimension ref="A1:Q25"/>
  <sheetViews>
    <sheetView workbookViewId="0"/>
  </sheetViews>
  <sheetFormatPr defaultRowHeight="15" x14ac:dyDescent="0.25"/>
  <sheetData>
    <row r="1" spans="1:17" x14ac:dyDescent="0.25">
      <c r="A1" t="s">
        <v>0</v>
      </c>
      <c r="B1">
        <v>0.05</v>
      </c>
    </row>
    <row r="2" spans="1:17" x14ac:dyDescent="0.25">
      <c r="A2" t="s">
        <v>1</v>
      </c>
      <c r="B2">
        <v>25</v>
      </c>
      <c r="E2" s="1">
        <f>B5</f>
        <v>1753.7701245239373</v>
      </c>
      <c r="F2">
        <f>B6</f>
        <v>526131.03735718119</v>
      </c>
      <c r="I2">
        <v>10</v>
      </c>
      <c r="J2">
        <v>15</v>
      </c>
      <c r="K2">
        <v>20</v>
      </c>
      <c r="L2">
        <v>25</v>
      </c>
      <c r="M2">
        <v>30</v>
      </c>
    </row>
    <row r="3" spans="1:17" x14ac:dyDescent="0.25">
      <c r="A3" t="s">
        <v>2</v>
      </c>
      <c r="B3">
        <v>300000</v>
      </c>
      <c r="D3">
        <v>0.03</v>
      </c>
      <c r="E3">
        <f t="dataTable" ref="E3:F8" dt2D="0" dtr="0" r1="B1" ca="1"/>
        <v>1422.6339415730192</v>
      </c>
      <c r="F3">
        <v>426790.18247190578</v>
      </c>
      <c r="H3" s="1">
        <f>B5</f>
        <v>1753.7701245239373</v>
      </c>
      <c r="I3">
        <f t="dataTable" ref="I3:M3" dt2D="0" dtr="1" r1="B2" ca="1"/>
        <v>3181.9654571722572</v>
      </c>
      <c r="J3">
        <v>2372.380880224634</v>
      </c>
      <c r="K3">
        <v>1979.8672176499722</v>
      </c>
      <c r="L3">
        <v>1753.7701245239373</v>
      </c>
      <c r="M3">
        <v>1610.4648690364172</v>
      </c>
    </row>
    <row r="4" spans="1:17" x14ac:dyDescent="0.25">
      <c r="A4" t="s">
        <v>3</v>
      </c>
      <c r="B4">
        <f>B1*2</f>
        <v>0.1</v>
      </c>
      <c r="D4">
        <v>0.04</v>
      </c>
      <c r="E4">
        <v>1583.5105208933319</v>
      </c>
      <c r="F4">
        <v>475053.15626799955</v>
      </c>
    </row>
    <row r="5" spans="1:17" x14ac:dyDescent="0.25">
      <c r="A5" t="s">
        <v>4</v>
      </c>
      <c r="B5" s="1">
        <f>PMT(B1/12,B2*12,-B3)</f>
        <v>1753.7701245239373</v>
      </c>
      <c r="D5">
        <v>0.05</v>
      </c>
      <c r="E5">
        <v>1753.7701245239373</v>
      </c>
      <c r="F5">
        <v>526131.03735718119</v>
      </c>
    </row>
    <row r="6" spans="1:17" x14ac:dyDescent="0.25">
      <c r="B6">
        <f>B5*B2*12</f>
        <v>526131.03735718119</v>
      </c>
      <c r="D6">
        <v>0.06</v>
      </c>
      <c r="E6">
        <v>1932.9042044565256</v>
      </c>
      <c r="F6">
        <v>579871.26133695769</v>
      </c>
    </row>
    <row r="7" spans="1:17" x14ac:dyDescent="0.25">
      <c r="B7">
        <f>B6-B3</f>
        <v>226131.03735718119</v>
      </c>
      <c r="D7">
        <v>7.0000000000000007E-2</v>
      </c>
      <c r="E7">
        <v>2120.3375918252755</v>
      </c>
      <c r="F7">
        <v>636101.27754758263</v>
      </c>
    </row>
    <row r="8" spans="1:17" x14ac:dyDescent="0.25">
      <c r="B8">
        <f>Beside!A1+1</f>
        <v>113066.5186785906</v>
      </c>
      <c r="D8">
        <v>0.08</v>
      </c>
      <c r="E8">
        <v>2315.448658119009</v>
      </c>
      <c r="F8">
        <v>694634.59743570269</v>
      </c>
    </row>
    <row r="9" spans="1:17" x14ac:dyDescent="0.25">
      <c r="B9">
        <f>B4*1000+B3/1000</f>
        <v>400</v>
      </c>
    </row>
    <row r="10" spans="1:17" x14ac:dyDescent="0.25">
      <c r="B10">
        <f>IF(B1&gt;0.06,B6,B7)</f>
        <v>226131.03735718119</v>
      </c>
    </row>
    <row r="11" spans="1:17" x14ac:dyDescent="0.25">
      <c r="D11" s="1">
        <f>B5</f>
        <v>1753.7701245239373</v>
      </c>
      <c r="E11">
        <v>10</v>
      </c>
      <c r="F11">
        <v>15</v>
      </c>
      <c r="G11">
        <v>20</v>
      </c>
      <c r="H11">
        <v>25</v>
      </c>
      <c r="I11">
        <v>30</v>
      </c>
      <c r="L11">
        <f>B8</f>
        <v>113066.5186785906</v>
      </c>
      <c r="M11">
        <f>B9</f>
        <v>400</v>
      </c>
      <c r="N11">
        <f>B10</f>
        <v>226131.03735718119</v>
      </c>
      <c r="Q11">
        <f>B9</f>
        <v>400</v>
      </c>
    </row>
    <row r="12" spans="1:17" x14ac:dyDescent="0.25">
      <c r="D12">
        <v>0.03</v>
      </c>
      <c r="E12">
        <f t="dataTable" ref="E12:I16" dt2D="1" dtr="1" r1="B2" r2="B1" ca="1"/>
        <v>2896.8223409516859</v>
      </c>
      <c r="F12">
        <v>2071.7449208339704</v>
      </c>
      <c r="G12">
        <v>1663.7927935617363</v>
      </c>
      <c r="H12">
        <v>1422.6339415730192</v>
      </c>
      <c r="I12">
        <v>1264.8121011883513</v>
      </c>
      <c r="K12">
        <v>0.04</v>
      </c>
      <c r="L12">
        <f t="dataTable" ref="L12:N16" dt2D="0" dtr="0" r1="B1" ca="1"/>
        <v>87527.578133999777</v>
      </c>
      <c r="M12">
        <v>380</v>
      </c>
      <c r="N12">
        <v>175053.15626799955</v>
      </c>
      <c r="P12">
        <v>0.1</v>
      </c>
      <c r="Q12">
        <f t="dataTable" ref="Q12:Q13" dt2D="0" dtr="0" r1="B4" ca="1"/>
        <v>400</v>
      </c>
    </row>
    <row r="13" spans="1:17" x14ac:dyDescent="0.25">
      <c r="D13">
        <v>0.04</v>
      </c>
      <c r="E13">
        <v>3037.3541449464446</v>
      </c>
      <c r="F13">
        <v>2219.0637768278107</v>
      </c>
      <c r="G13">
        <v>1817.9409878982563</v>
      </c>
      <c r="H13">
        <v>1583.5105208933319</v>
      </c>
      <c r="I13">
        <v>1432.2458863963786</v>
      </c>
      <c r="K13">
        <v>0.05</v>
      </c>
      <c r="L13">
        <v>113066.5186785906</v>
      </c>
      <c r="M13">
        <v>400</v>
      </c>
      <c r="N13">
        <v>226131.03735718119</v>
      </c>
      <c r="P13">
        <v>0.2</v>
      </c>
      <c r="Q13">
        <v>500</v>
      </c>
    </row>
    <row r="14" spans="1:17" x14ac:dyDescent="0.25">
      <c r="D14">
        <v>0.05</v>
      </c>
      <c r="E14">
        <v>3181.9654571722572</v>
      </c>
      <c r="F14">
        <v>2372.380880224634</v>
      </c>
      <c r="G14">
        <v>1979.8672176499722</v>
      </c>
      <c r="H14">
        <v>1753.7701245239373</v>
      </c>
      <c r="I14">
        <v>1610.4648690364172</v>
      </c>
      <c r="K14">
        <v>0.06</v>
      </c>
      <c r="L14">
        <v>139936.63066847884</v>
      </c>
      <c r="M14">
        <v>420</v>
      </c>
      <c r="N14">
        <v>279871.26133695769</v>
      </c>
    </row>
    <row r="15" spans="1:17" x14ac:dyDescent="0.25">
      <c r="D15">
        <v>0.06</v>
      </c>
      <c r="E15">
        <v>3330.6150582494834</v>
      </c>
      <c r="F15">
        <v>2531.5704841453539</v>
      </c>
      <c r="G15">
        <v>2149.2931754344945</v>
      </c>
      <c r="H15">
        <v>1932.9042044565256</v>
      </c>
      <c r="I15">
        <v>1798.651575458257</v>
      </c>
      <c r="K15">
        <v>7.0000000000000007E-2</v>
      </c>
      <c r="L15">
        <v>168051.63877379132</v>
      </c>
      <c r="M15">
        <v>440</v>
      </c>
      <c r="N15">
        <v>636101.27754758263</v>
      </c>
    </row>
    <row r="16" spans="1:17" x14ac:dyDescent="0.25">
      <c r="D16">
        <v>7.0000000000000007E-2</v>
      </c>
      <c r="E16">
        <v>3483.2543765587216</v>
      </c>
      <c r="F16">
        <v>2696.4848125572807</v>
      </c>
      <c r="G16">
        <v>2325.8968068566237</v>
      </c>
      <c r="H16">
        <v>2120.3375918252755</v>
      </c>
      <c r="I16">
        <v>1995.9074855375497</v>
      </c>
      <c r="K16">
        <v>0.08</v>
      </c>
      <c r="L16">
        <v>197318.29871785134</v>
      </c>
      <c r="M16">
        <v>460</v>
      </c>
      <c r="N16">
        <v>694634.59743570269</v>
      </c>
    </row>
    <row r="20" spans="4:5" x14ac:dyDescent="0.25">
      <c r="E20" s="1">
        <f>B5</f>
        <v>1753.7701245239373</v>
      </c>
    </row>
    <row r="21" spans="4:5" x14ac:dyDescent="0.25">
      <c r="D21">
        <v>0.04</v>
      </c>
      <c r="E21">
        <f t="dataTable" ref="E21:E25" dt2D="0" dtr="0" r1="B1"/>
        <v>1583.5105208933319</v>
      </c>
    </row>
    <row r="22" spans="4:5" x14ac:dyDescent="0.25">
      <c r="E22">
        <v>1000</v>
      </c>
    </row>
    <row r="23" spans="4:5" x14ac:dyDescent="0.25">
      <c r="D23" t="e">
        <f>NA()</f>
        <v>#N/A</v>
      </c>
      <c r="E23" t="e">
        <v>#N/A</v>
      </c>
    </row>
    <row r="24" spans="4:5" x14ac:dyDescent="0.25">
      <c r="D24" t="s">
        <v>5</v>
      </c>
      <c r="E24" t="e">
        <v>#VALUE!</v>
      </c>
    </row>
    <row r="25" spans="4:5" x14ac:dyDescent="0.25">
      <c r="D25">
        <f>0.01*ROW()/5</f>
        <v>0.05</v>
      </c>
      <c r="E25">
        <v>1753.7701245239373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A7B8-A45E-43DD-AF71-B12063FB52A8}">
  <dimension ref="A1"/>
  <sheetViews>
    <sheetView tabSelected="1" workbookViewId="0"/>
  </sheetViews>
  <sheetFormatPr defaultRowHeight="15" x14ac:dyDescent="0.25"/>
  <sheetData>
    <row r="1" spans="1:1" x14ac:dyDescent="0.25">
      <c r="A1">
        <f>Moved!B7/2</f>
        <v>113065.5186785906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</vt:lpstr>
      <vt:lpstr>Side</vt:lpstr>
      <vt:lpstr>Moved</vt:lpstr>
      <vt:lpstr>Beside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2026-09-26T03:17:01Z</dcterms:created>
  <dcterms:modified xsi:type="dcterms:W3CDTF">2026-09-26T03:17:01Z</dcterms:modified>
</cp:coreProperties>
</file>
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C7AFEBF1-70E9-43DC-A6E4-49F8476233FA}" xr6:coauthVersionLast="47" xr6:coauthVersionMax="47" xr10:uidLastSave="{00000000-0000-0000-0000-000000000000}"/>
  <bookViews>
    <workbookView xWindow="-120" yWindow="-120" windowWidth="10800" windowHeight="19485" xr2:uid="{D3BBCE71-D6E5-4977-A5E6-B071EBD0A9FA}"/>
  </bookViews>
  <sheets>
    <sheet name="Pairs" sheetId="1" r:id="rId1"/>
    <sheet name="Keys" sheetId="2" r:id="rId2"/>
    <sheet name="Moves" sheetId="3" r:id="rId3"/>
    <sheet name="Partial" sheetId="4" r:id="rId4"/>
    <sheet name="NoHeader" sheetId="5" r:id="rId5"/>
    <sheet name="Hidden" sheetId="6" r:id="rId6"/>
    <sheet name="Merged" sheetId="7" r:id="rId7"/>
    <sheet name="ArrayRows" sheetId="8" r:id="rId8"/>
    <sheet name="ArrayStays" sheetId="9" r:id="rId9"/>
    <sheet name="ArrayRemoved" sheetId="10" r:id="rId10"/>
    <sheet name="ArrayMoves" sheetId="11" r:id="rId11"/>
    <sheet name="Total" sheetId="12" r:id="rId12"/>
    <sheet name="TotalAway" sheetId="13" r:id="rId13"/>
    <sheet name="NotTotal" sheetId="14" r:id="rId14"/>
    <sheet name="EmptyBelow" sheetId="15" r:id="rId15"/>
    <sheet name="Table" sheetId="16" r:id="rId16"/>
    <sheet name="TableTotals" sheetId="17" r:id="rId17"/>
    <sheet name="TableTotalsShapes" sheetId="18" r:id="rId18"/>
    <sheet name="Reader" sheetId="19" r:id="rId19"/>
    <sheet name="TableInner" sheetId="20" r:id="rId20"/>
    <sheet name="TableCell" sheetId="21" r:id="rId21"/>
    <sheet name="TableNoHeaderAsked" sheetId="22" r:id="rId22"/>
    <sheet name="TableTotalsRow" sheetId="23" r:id="rId23"/>
    <sheet name="TableCalc" sheetId="24" r:id="rId24"/>
    <sheet name="TableHidden" sheetId="25" r:id="rId25"/>
    <sheet name="TableFiltered" sheetId="26" r:id="rId26"/>
    <sheet name="TableFilteredTotals" sheetId="27" r:id="rId27"/>
    <sheet name="TableHeadless" sheetId="28" r:id="rId28"/>
    <sheet name="TableEmptyRows" sheetId="29" r:id="rId29"/>
    <sheet name="TableLastSum" sheetId="30" r:id="rId30"/>
    <sheet name="TableSorted" sheetId="31" r:id="rId31"/>
    <sheet name="TableUnique" sheetId="32" r:id="rId32"/>
    <sheet name="TableWider" sheetId="33" r:id="rId33"/>
    <sheet name="TableLonger" sheetId="34" r:id="rId34"/>
  </sheets>
  <definedNames>
    <definedName name="TableGone">Table!$B$7</definedName>
    <definedName name="TableSpan">Table!$B$2:$B$8</definedName>
    <definedName name="TotalsCell">TableTotals!$B$9</definedName>
    <definedName name="TotalsSpan">TableTotals!$B$2:$B$8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34" l="1"/>
  <c r="C12" i="34"/>
  <c r="B12" i="34"/>
  <c r="D12" i="33"/>
  <c r="C12" i="33"/>
  <c r="B12" i="33"/>
  <c r="D12" i="32"/>
  <c r="C12" i="32"/>
  <c r="B12" i="32"/>
  <c r="D12" i="31"/>
  <c r="C12" i="31"/>
  <c r="B12" i="31"/>
  <c r="B6" i="30"/>
  <c r="D12" i="28"/>
  <c r="C12" i="28"/>
  <c r="B12" i="28"/>
  <c r="D12" i="27"/>
  <c r="C12" i="27"/>
  <c r="B12" i="27"/>
  <c r="B9" i="27"/>
  <c r="C9" i="27"/>
  <c r="D12" i="26"/>
  <c r="C12" i="26"/>
  <c r="B12" i="26"/>
  <c r="D12" i="25"/>
  <c r="C12" i="25"/>
  <c r="B12" i="25"/>
  <c r="D2" i="24"/>
  <c r="D3" i="24"/>
  <c r="D4" i="24"/>
  <c r="D5" i="24"/>
  <c r="D6" i="24"/>
  <c r="D7" i="24"/>
  <c r="D8" i="24"/>
  <c r="D12" i="24"/>
  <c r="C12" i="24"/>
  <c r="B12" i="24"/>
  <c r="D12" i="23"/>
  <c r="C12" i="23"/>
  <c r="B12" i="23"/>
  <c r="B9" i="23"/>
  <c r="C9" i="23"/>
  <c r="D12" i="22"/>
  <c r="C12" i="22"/>
  <c r="B12" i="22"/>
  <c r="D12" i="21"/>
  <c r="C12" i="21"/>
  <c r="B12" i="21"/>
  <c r="D12" i="20"/>
  <c r="C12" i="20"/>
  <c r="B12" i="20"/>
  <c r="A6" i="19"/>
  <c r="A5" i="19"/>
  <c r="A4" i="19"/>
  <c r="A3" i="19"/>
  <c r="A2" i="19"/>
  <c r="A1" i="19"/>
  <c r="D12" i="18"/>
  <c r="C12" i="18"/>
  <c r="B12" i="18"/>
  <c r="B9" i="18"/>
  <c r="C9" i="18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1" i="17"/>
  <c r="C8" i="17"/>
  <c r="D12" i="17"/>
  <c r="C12" i="17"/>
  <c r="B12" i="17"/>
  <c r="B9" i="17"/>
  <c r="C9" i="17"/>
  <c r="H13" i="16"/>
  <c r="H12" i="16"/>
  <c r="H11" i="16"/>
  <c r="H10" i="16"/>
  <c r="H9" i="16"/>
  <c r="H8" i="16"/>
  <c r="H7" i="16"/>
  <c r="H6" i="16"/>
  <c r="H5" i="16"/>
  <c r="H4" i="16"/>
  <c r="H3" i="16"/>
  <c r="H2" i="16"/>
  <c r="H1" i="16"/>
  <c r="C8" i="16"/>
  <c r="D12" i="16"/>
  <c r="C12" i="16"/>
  <c r="B12" i="16"/>
  <c r="C5" i="14"/>
  <c r="C5" i="13"/>
  <c r="C5" i="12"/>
  <c r="C4" i="11" a="1"/>
  <c r="C4" i="11" s="1"/>
  <c r="C3" i="10" a="1"/>
  <c r="C3" i="10" s="1"/>
  <c r="C2" i="9" a="1"/>
  <c r="C2" i="9" s="1"/>
  <c r="C2" i="8" a="1"/>
  <c r="A12" i="3"/>
  <c r="B8" i="3"/>
  <c r="B7" i="3"/>
  <c r="B6" i="3"/>
  <c r="B5" i="3"/>
  <c r="B4" i="3"/>
  <c r="B3" i="3"/>
  <c r="B2" i="3"/>
  <c r="E10" i="2"/>
  <c r="A11" i="2"/>
  <c r="A10" i="2"/>
  <c r="A355" i="1"/>
  <c r="A354" i="1"/>
  <c r="A351" i="1"/>
  <c r="A342" i="1"/>
  <c r="A335" i="1"/>
  <c r="A143" i="1"/>
  <c r="A139" i="1"/>
  <c r="A107" i="1"/>
  <c r="A103" i="1"/>
  <c r="A98" i="1"/>
  <c r="A11" i="1"/>
  <c r="A7" i="1"/>
  <c r="C2" i="8" l="1"/>
  <c r="C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16E0C017-8101-4864-A8E4-7236265D7EBE}">
      <text>
        <r>
          <rPr>
            <sz val="9"/>
            <color indexed="81"/>
            <rFont val="Tahoma"/>
            <charset val="1"/>
          </rPr>
          <t>note on a kept row</t>
        </r>
      </text>
    </comment>
    <comment ref="C5" authorId="0" shapeId="0" xr:uid="{F2B18077-D553-4306-B16F-7A2E727DF86F}">
      <text>
        <r>
          <rPr>
            <sz val="9"/>
            <color indexed="81"/>
            <rFont val="Tahoma"/>
            <charset val="1"/>
          </rPr>
          <t>note on a removed row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49F013B4-B8F0-444C-9C1B-55A903E8A28F}">
      <text>
        <r>
          <rPr>
            <sz val="9"/>
            <color indexed="81"/>
            <rFont val="Tahoma"/>
            <charset val="1"/>
          </rPr>
          <t>note on a removed row</t>
        </r>
      </text>
    </comment>
    <comment ref="C8" authorId="0" shapeId="0" xr:uid="{CCC7FD97-5C3E-4548-957E-0ACB188E042C}">
      <text>
        <r>
          <rPr>
            <sz val="9"/>
            <color indexed="81"/>
            <rFont val="Tahoma"/>
            <charset val="1"/>
          </rPr>
          <t>note on a row that moves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72257964-ABC5-4224-8E2A-44302256924F}">
      <text>
        <r>
          <rPr>
            <sz val="9"/>
            <color indexed="81"/>
            <rFont val="Tahoma"/>
            <charset val="1"/>
          </rPr>
          <t>note on a removed row</t>
        </r>
      </text>
    </comment>
    <comment ref="C8" authorId="0" shapeId="0" xr:uid="{C2E49B63-3AC8-42E6-A685-50C0227F95BA}">
      <text>
        <r>
          <rPr>
            <sz val="9"/>
            <color indexed="81"/>
            <rFont val="Tahoma"/>
            <charset val="1"/>
          </rPr>
          <t>note on a row that moves</t>
        </r>
      </text>
    </comment>
    <comment ref="C9" authorId="0" shapeId="0" xr:uid="{8E7C52AB-F48A-4266-BEEB-D34FCED29FD1}">
      <text>
        <r>
          <rPr>
            <sz val="9"/>
            <color indexed="81"/>
            <rFont val="Tahoma"/>
            <charset val="1"/>
          </rPr>
          <t>note on the totals row</t>
        </r>
      </text>
    </comment>
  </commentList>
</comments>
</file>

<file path=xl/sharedStrings.xml><?xml version="1.0" encoding="utf-8"?>
<sst xmlns="http://schemas.openxmlformats.org/spreadsheetml/2006/main" count="1006" uniqueCount="113">
  <si>
    <t>v</t>
  </si>
  <si>
    <t>m</t>
  </si>
  <si>
    <t>first</t>
  </si>
  <si>
    <t>second</t>
  </si>
  <si>
    <t>1</t>
  </si>
  <si>
    <t>1/15/2020</t>
  </si>
  <si>
    <t>43845.00</t>
  </si>
  <si>
    <t>a</t>
  </si>
  <si>
    <t>A</t>
  </si>
  <si>
    <t>x</t>
  </si>
  <si>
    <t>straße</t>
  </si>
  <si>
    <t>strasse</t>
  </si>
  <si>
    <t>STRASSE</t>
  </si>
  <si>
    <t>é</t>
  </si>
  <si>
    <t>e</t>
  </si>
  <si>
    <t>a-b</t>
  </si>
  <si>
    <t>ab</t>
  </si>
  <si>
    <t>co-op</t>
  </si>
  <si>
    <t>coop</t>
  </si>
  <si>
    <t xml:space="preserve">a </t>
  </si>
  <si>
    <t>ＡＢＣ</t>
  </si>
  <si>
    <t>ABC</t>
  </si>
  <si>
    <t>1.0</t>
  </si>
  <si>
    <t>æ</t>
  </si>
  <si>
    <t>ae</t>
  </si>
  <si>
    <t>Æ</t>
  </si>
  <si>
    <t>AE</t>
  </si>
  <si>
    <t>œuvre</t>
  </si>
  <si>
    <t>oeuvre</t>
  </si>
  <si>
    <t>ǅ</t>
  </si>
  <si>
    <t>dž</t>
  </si>
  <si>
    <t>ﬁ</t>
  </si>
  <si>
    <t>fi</t>
  </si>
  <si>
    <t>a­b</t>
  </si>
  <si>
    <t>a​b</t>
  </si>
  <si>
    <t>a'b</t>
  </si>
  <si>
    <t>a–b</t>
  </si>
  <si>
    <t>á</t>
  </si>
  <si>
    <t>á</t>
  </si>
  <si>
    <t>Σ</t>
  </si>
  <si>
    <t>ς</t>
  </si>
  <si>
    <t>σ</t>
  </si>
  <si>
    <t>İ</t>
  </si>
  <si>
    <t>i</t>
  </si>
  <si>
    <t>ı</t>
  </si>
  <si>
    <t>I</t>
  </si>
  <si>
    <t>あ</t>
  </si>
  <si>
    <t>ア</t>
  </si>
  <si>
    <t>１</t>
  </si>
  <si>
    <t>²</t>
  </si>
  <si>
    <t>2</t>
  </si>
  <si>
    <t>Ⅰ</t>
  </si>
  <si>
    <t>½</t>
  </si>
  <si>
    <t>1/2</t>
  </si>
  <si>
    <t>ÿ</t>
  </si>
  <si>
    <t>Ÿ</t>
  </si>
  <si>
    <t>Ǆ</t>
  </si>
  <si>
    <t>ǆ</t>
  </si>
  <si>
    <t>a b</t>
  </si>
  <si>
    <t>a b</t>
  </si>
  <si>
    <t>a	b</t>
  </si>
  <si>
    <t>ss</t>
  </si>
  <si>
    <t>ß</t>
  </si>
  <si>
    <t>SS</t>
  </si>
  <si>
    <t>ẞ</t>
  </si>
  <si>
    <t>ö</t>
  </si>
  <si>
    <t>oe</t>
  </si>
  <si>
    <t>å</t>
  </si>
  <si>
    <t>aa</t>
  </si>
  <si>
    <t>ø</t>
  </si>
  <si>
    <t>o</t>
  </si>
  <si>
    <t>đ</t>
  </si>
  <si>
    <t>d</t>
  </si>
  <si>
    <t>ł</t>
  </si>
  <si>
    <t>l</t>
  </si>
  <si>
    <t>TRUE</t>
  </si>
  <si>
    <t>true</t>
  </si>
  <si>
    <t>FALSE</t>
  </si>
  <si>
    <t>#N/A</t>
  </si>
  <si>
    <t xml:space="preserve"> </t>
  </si>
  <si>
    <t/>
  </si>
  <si>
    <t>k</t>
  </si>
  <si>
    <t>y</t>
  </si>
  <si>
    <t>z</t>
  </si>
  <si>
    <t>n</t>
  </si>
  <si>
    <t>c</t>
  </si>
  <si>
    <t>c1</t>
  </si>
  <si>
    <t>c2</t>
  </si>
  <si>
    <t>c3</t>
  </si>
  <si>
    <t>c4</t>
  </si>
  <si>
    <t>c5</t>
  </si>
  <si>
    <t>c6</t>
  </si>
  <si>
    <t>out</t>
  </si>
  <si>
    <t>o1</t>
  </si>
  <si>
    <t>o2</t>
  </si>
  <si>
    <t>o3</t>
  </si>
  <si>
    <t>o4</t>
  </si>
  <si>
    <t>o5</t>
  </si>
  <si>
    <t>o6</t>
  </si>
  <si>
    <t>b</t>
  </si>
  <si>
    <t>f</t>
  </si>
  <si>
    <t>fmt</t>
  </si>
  <si>
    <t>m1</t>
  </si>
  <si>
    <t>m2</t>
  </si>
  <si>
    <t>m3</t>
  </si>
  <si>
    <t>m4</t>
  </si>
  <si>
    <t>m5</t>
  </si>
  <si>
    <t>m6</t>
  </si>
  <si>
    <t>m7</t>
  </si>
  <si>
    <t>o7</t>
  </si>
  <si>
    <t>below</t>
  </si>
  <si>
    <t>Total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</si>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</sst>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%"/>
    <numFmt numFmtId="166" formatCode="0;0"/>
    <numFmt numFmtId="167" formatCode="&quot;a&quot;0"/>
    <numFmt numFmtId="168" formatCode="&quot;A&quot;0"/>
    <numFmt numFmtId="169" formatCode="@&quot;!&quot;"/>
    <numFmt numFmtId="170" formatCode="@&quot; &quot;"/>
    <numFmt numFmtId="171" formatCode="0.000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C0000"/>
        <bgColor indexed="64"/>
      </patternFill>
    </fill>
    <fill>
      <patternFill patternType="solid">
        <fgColor rgb="FF5A0000"/>
        <bgColor indexed="64"/>
      </patternFill>
    </fill>
    <fill>
      <patternFill patternType="solid">
        <fgColor rgb="FF780000"/>
        <bgColor indexed="64"/>
      </patternFill>
    </fill>
    <fill>
      <patternFill patternType="solid">
        <fgColor rgb="FF960000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D2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00C800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rgb="FF0000C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2" fontId="0" fillId="0" borderId="0" xfId="0" applyNumberFormat="1"/>
    <xf numFmtId="14" fontId="0" fillId="0" borderId="0" xfId="0" applyNumberForma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  <xf numFmtId="165" fontId="0" fillId="0" borderId="0" xfId="0" applyNumberFormat="1"/>
    <xf numFmtId="20" fontId="0" fillId="0" borderId="0" xfId="0" applyNumberFormat="1"/>
    <xf numFmtId="49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9" fontId="0" fillId="0" borderId="0" xfId="0" quotePrefix="1" applyNumberFormat="1"/>
    <xf numFmtId="170" fontId="0" fillId="0" borderId="0" xfId="0" quotePrefix="1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1"/>
    <xf numFmtId="0" fontId="0" fillId="0" borderId="0" xfId="0"/>
    <xf numFmtId="0" fontId="0" fillId="9" borderId="0" xfId="0" applyFill="1"/>
    <xf numFmtId="0" fontId="0" fillId="10" borderId="0" xfId="0" applyFill="1"/>
    <xf numFmtId="0" fontId="0" fillId="11" borderId="0" xfId="0" applyFill="1"/>
    <xf numFmtId="171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Table!$B$2:$B$8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 formatCode="0.00">
                  <c:v>6</c:v>
                </c:pt>
                <c:pt idx="6" formatCode="0.00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4C-41E3-9A99-7A245F939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180832"/>
        <c:axId val="1166427791"/>
      </c:barChart>
      <c:catAx>
        <c:axId val="263180832"/>
        <c:scaling>
          <c:orientation val="minMax"/>
        </c:scaling>
        <c:delete val="0"/>
        <c:axPos val="b"/>
        <c:majorTickMark val="out"/>
        <c:minorTickMark val="none"/>
        <c:tickLblPos val="nextTo"/>
        <c:crossAx val="1166427791"/>
        <c:crosses val="autoZero"/>
        <c:auto val="1"/>
        <c:lblAlgn val="ctr"/>
        <c:lblOffset val="100"/>
        <c:noMultiLvlLbl val="0"/>
      </c:catAx>
      <c:valAx>
        <c:axId val="11664277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318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TableTotals!$B$2:$B$8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 formatCode="0.00">
                  <c:v>6</c:v>
                </c:pt>
                <c:pt idx="6" formatCode="0.00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1-4C5C-9897-9B6D7F90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186864"/>
        <c:axId val="1166366831"/>
      </c:barChart>
      <c:catAx>
        <c:axId val="263186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166366831"/>
        <c:crosses val="autoZero"/>
        <c:auto val="1"/>
        <c:lblAlgn val="ctr"/>
        <c:lblOffset val="100"/>
        <c:noMultiLvlLbl val="0"/>
      </c:catAx>
      <c:valAx>
        <c:axId val="11663668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3186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0</xdr:row>
      <xdr:rowOff>127000</xdr:rowOff>
    </xdr:from>
    <xdr:to>
      <xdr:col>12</xdr:col>
      <xdr:colOff>558800</xdr:colOff>
      <xdr:row>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9A4C1-A717-10EA-3F09-E859460C0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0</xdr:row>
      <xdr:rowOff>127000</xdr:rowOff>
    </xdr:from>
    <xdr:to>
      <xdr:col>12</xdr:col>
      <xdr:colOff>558800</xdr:colOff>
      <xdr:row>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A5A7F-3499-9C54-4A64-2AAC8E8F9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882FE-F6E2-4C03-A59F-F39B43E2AEC3}" name="TTable" displayName="TTable" ref="A1:C8" totalsRowShown="0">
  <autoFilter ref="A1:C8" xr:uid="{0D4882FE-F6E2-4C03-A59F-F39B43E2AEC3}"/>
  <tableColumns count="3">
    <tableColumn id="1" xr3:uid="{14846AB2-7935-42AB-802F-B7D951A37403}" name="k"/>
    <tableColumn id="2" xr3:uid="{5F12AF86-3951-4C30-BA55-3DB5BC5F4EB3}" name="n"/>
    <tableColumn id="3" xr3:uid="{91D890C2-3C82-489F-85F1-0DF03534010D}" name="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FC831-74A5-47D2-AF2A-243C35BE968C}" name="TTableTotals" displayName="TTableTotals" ref="A1:C9" totalsRowCount="1">
  <autoFilter ref="A1:C8" xr:uid="{A2BFC831-74A5-47D2-AF2A-243C35BE968C}"/>
  <tableColumns count="3">
    <tableColumn id="1" xr3:uid="{0F458D48-74AF-4BB9-A567-BA917F5895CF}" name="k" totalsRowLabel="Total"/>
    <tableColumn id="2" xr3:uid="{62926DF0-C0CA-407A-81E3-9CF28FFC8685}" name="n" totalsRowFunction="sum" totalsRowDxfId="0"/>
    <tableColumn id="3" xr3:uid="{2661A755-93BB-405E-BEC5-96710D917A76}" name="m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70B1AD-596B-4433-A633-0E63DE5A6BD1}" name="TTableTotalsShapes" displayName="TTableTotalsShapes" ref="A1:C9" totalsRowCount="1">
  <autoFilter ref="A1:C8" xr:uid="{AB70B1AD-596B-4433-A633-0E63DE5A6BD1}"/>
  <tableColumns count="3">
    <tableColumn id="1" xr3:uid="{DD778B9E-3E56-4BDB-A114-A82D6C456788}" name="k" totalsRowLabel="Total"/>
    <tableColumn id="2" xr3:uid="{6A9843CF-4943-4328-A542-7082BF8D3D6C}" name="n" totalsRowFunction="sum"/>
    <tableColumn id="3" xr3:uid="{F4D8699F-3AA0-4756-9E04-80F2206C364A}" name="m" totalsRowFunction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7D6AEA-E1FE-40D2-817B-534A0F4F5D18}" name="TTableInner" displayName="TTableInner" ref="A1:C8" totalsRowShown="0">
  <autoFilter ref="A1:C8" xr:uid="{6B7D6AEA-E1FE-40D2-817B-534A0F4F5D18}"/>
  <tableColumns count="3">
    <tableColumn id="1" xr3:uid="{28DD4C60-5BCC-4D09-A213-7F175B4B0833}" name="k"/>
    <tableColumn id="2" xr3:uid="{50BD1794-2F11-4E91-87CA-A7D492F97BEE}" name="n"/>
    <tableColumn id="3" xr3:uid="{3D3CE7BA-6356-47CC-BE40-48A1F5990CA7}" name="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C7FC0-E877-4FF6-B25B-DBEC71FC438F}" name="TTableCell" displayName="TTableCell" ref="A1:C8" totalsRowShown="0">
  <autoFilter ref="A1:C8" xr:uid="{7CBC7FC0-E877-4FF6-B25B-DBEC71FC438F}"/>
  <tableColumns count="3">
    <tableColumn id="1" xr3:uid="{EE0EE49D-6478-42A7-998C-6793152DDE02}" name="k"/>
    <tableColumn id="2" xr3:uid="{FE1895D6-CBB5-4B5A-9C69-99AEF6FF47B2}" name="n"/>
    <tableColumn id="3" xr3:uid="{5216E245-6917-46B4-82D0-0969035D6791}" name="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D25F1D-7283-49A3-9DB2-B6481474753B}" name="TTableNoHeaderAsked" displayName="TTableNoHeaderAsked" ref="A1:C8" totalsRowShown="0">
  <autoFilter ref="A1:C8" xr:uid="{36D25F1D-7283-49A3-9DB2-B6481474753B}"/>
  <tableColumns count="3">
    <tableColumn id="1" xr3:uid="{974E34DD-1A3F-4767-BDAC-09183E46A093}" name="k"/>
    <tableColumn id="2" xr3:uid="{C486837E-8A30-4450-8D14-0E4A518AC5EE}" name="n"/>
    <tableColumn id="3" xr3:uid="{5476EC6B-3CF4-4683-AFEB-866DEFBD1260}" name="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F7C00B-FD4B-4D8F-B9CC-08BD1C17FFDD}" name="TTableTotalsRow" displayName="TTableTotalsRow" ref="A1:C9" totalsRowCount="1">
  <autoFilter ref="A1:C8" xr:uid="{93F7C00B-FD4B-4D8F-B9CC-08BD1C17FFDD}"/>
  <tableColumns count="3">
    <tableColumn id="1" xr3:uid="{87A34A19-799A-475C-B024-6D3ECD9B713B}" name="k" totalsRowLabel="Total"/>
    <tableColumn id="2" xr3:uid="{FDBDFE70-7CE0-4E85-97D6-AE423123A225}" name="n" totalsRowFunction="sum"/>
    <tableColumn id="3" xr3:uid="{F5431527-B110-4F8D-BB0A-5BB5C00F614A}" name="m" totalsRowFunction="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4C4179-6A08-4994-8F55-DA2ACFD09E9F}" name="TTableCalc" displayName="TTableCalc" ref="A1:D8" totalsRowShown="0">
  <autoFilter ref="A1:D8" xr:uid="{774C4179-6A08-4994-8F55-DA2ACFD09E9F}"/>
  <tableColumns count="4">
    <tableColumn id="1" xr3:uid="{174F224F-3BE3-4622-A143-F35A4F61E664}" name="k"/>
    <tableColumn id="2" xr3:uid="{C37E01AB-BEE0-4389-B03F-B2A9745BB785}" name="n"/>
    <tableColumn id="3" xr3:uid="{28CE6C6B-1819-4F9F-B6A5-8E5F480141C6}" name="m"/>
    <tableColumn id="4" xr3:uid="{23A31060-32C4-4B26-B23B-4972DC6D3F92}" name="calc">
      <calculatedColumnFormula>TTableCalc[[#This Row],[k]]&amp;TTableCalc[[#This Row],[n]]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80B6E2-FCAC-45CD-BF36-CB4D7413921C}" name="TTableHidden" displayName="TTableHidden" ref="A1:C8" totalsRowShown="0">
  <autoFilter ref="A1:C8" xr:uid="{9680B6E2-FCAC-45CD-BF36-CB4D7413921C}"/>
  <tableColumns count="3">
    <tableColumn id="1" xr3:uid="{0048F738-649E-44CD-8B79-C86A48345FA9}" name="k"/>
    <tableColumn id="2" xr3:uid="{E4E7A54E-CA88-4119-AA57-9015DC3E66EE}" name="n"/>
    <tableColumn id="3" xr3:uid="{8E38363A-2323-4D26-B700-EDCD00675371}" name="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30B1EA-E86B-45FD-B641-35FB30CE2BD9}" name="TTableFiltered" displayName="TTableFiltered" ref="A1:C8" totalsRowShown="0">
  <autoFilter ref="A1:C8" xr:uid="{C230B1EA-E86B-45FD-B641-35FB30CE2BD9}">
    <filterColumn colId="1">
      <customFilters>
        <customFilter operator="greaterThan" val="3"/>
      </customFilters>
    </filterColumn>
  </autoFilter>
  <tableColumns count="3">
    <tableColumn id="1" xr3:uid="{044C36D7-BE2F-4900-B637-7ACD15CBAEE7}" name="k"/>
    <tableColumn id="2" xr3:uid="{31E68E55-E858-4CA0-9EC5-A885437A7E23}" name="n"/>
    <tableColumn id="3" xr3:uid="{B18428E6-873A-4948-BC50-1C3132B0082C}" name="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38A1BF-7CA9-4A50-9AA7-1B6745791F92}" name="TTableFilteredTotals" displayName="TTableFilteredTotals" ref="A1:C9" totalsRowCount="1">
  <autoFilter ref="A1:C8" xr:uid="{B638A1BF-7CA9-4A50-9AA7-1B6745791F92}">
    <filterColumn colId="1">
      <customFilters>
        <customFilter operator="lessThan" val="5"/>
      </customFilters>
    </filterColumn>
  </autoFilter>
  <tableColumns count="3">
    <tableColumn id="1" xr3:uid="{A61CA155-CEE1-4586-BED5-009B6666C82C}" name="k" totalsRowLabel="Total"/>
    <tableColumn id="2" xr3:uid="{78EFE0DD-F1C0-4C2F-B786-4E1133E8F6E1}" name="n" totalsRowFunction="sum"/>
    <tableColumn id="3" xr3:uid="{51169B0A-37CE-4B77-9B78-CEB08BB3559D}" name="m" totalsRowFunction="cou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93723A-F810-45FB-B026-2477823A4609}" name="TTableHeadless" displayName="TTableHeadless" ref="A2:C8" headerRowCount="0" totalsRowShown="0">
  <tableColumns count="3">
    <tableColumn id="1" xr3:uid="{23BDCF90-B04E-4659-8DCB-DD8FFCE521F2}" name="k"/>
    <tableColumn id="2" xr3:uid="{DF47EBCB-5A44-41D2-A8DD-B1256DBB2C18}" name="n"/>
    <tableColumn id="3" xr3:uid="{1EAABF36-9F7F-4BAD-A826-952DD8E0712B}" name="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52AAB8F-0A42-477C-8869-7ACD616D66EF}" name="TTableEmptyRows" displayName="TTableEmptyRows" ref="A1:B10" totalsRowShown="0">
  <autoFilter ref="A1:B10" xr:uid="{C52AAB8F-0A42-477C-8869-7ACD616D66EF}"/>
  <tableColumns count="2">
    <tableColumn id="1" xr3:uid="{7443699A-661A-4139-8D26-905B3ED206DF}" name="k"/>
    <tableColumn id="2" xr3:uid="{CF1A8001-9F01-4440-AA99-41D44A914C53}" name="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E2BC8BA-B9A3-41A0-A393-73E84365FE91}" name="TTableLastSum" displayName="TTableLastSum" ref="A1:B6" totalsRowShown="0">
  <autoFilter ref="A1:B6" xr:uid="{FE2BC8BA-B9A3-41A0-A393-73E84365FE91}"/>
  <tableColumns count="2">
    <tableColumn id="1" xr3:uid="{80727EBE-E3CB-440D-921B-171860C7DB61}" name="k"/>
    <tableColumn id="2" xr3:uid="{D0C1C78E-8539-4D49-846B-5AD3DE0CD425}" name="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56B9058-3116-4203-A852-6EC64ED335AB}" name="TTableSorted" displayName="TTableSorted" ref="A1:C8" totalsRowShown="0">
  <autoFilter ref="A1:C8" xr:uid="{F56B9058-3116-4203-A852-6EC64ED335AB}"/>
  <sortState xmlns:xlrd2="http://schemas.microsoft.com/office/spreadsheetml/2017/richdata2" ref="A2:C8">
    <sortCondition ref="B2:B8"/>
  </sortState>
  <tableColumns count="3">
    <tableColumn id="1" xr3:uid="{4BD27648-722F-4515-AC0A-21279742B5B4}" name="k"/>
    <tableColumn id="2" xr3:uid="{F3A6244D-BB0C-41A7-8FAE-FDD3D226FE65}" name="n"/>
    <tableColumn id="3" xr3:uid="{40950144-E418-4116-93FA-6FF37CE19CFA}" name="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E46C86D-4D70-408F-9049-C9BC71A45389}" name="TTableUnique" displayName="TTableUnique" ref="A1:C8" totalsRowShown="0">
  <autoFilter ref="A1:C8" xr:uid="{2E46C86D-4D70-408F-9049-C9BC71A45389}"/>
  <tableColumns count="3">
    <tableColumn id="1" xr3:uid="{C2693D60-14D8-4A9A-9D81-CDD1F1ADAB7B}" name="k"/>
    <tableColumn id="2" xr3:uid="{977EB0D5-E29E-4A31-8661-D9F7A8B6225B}" name="n"/>
    <tableColumn id="3" xr3:uid="{6549EBCB-D598-4D0E-AEC9-5A285A4ADBC2}" name="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5ABC69-ABBE-4DA1-86FD-DE83274949CB}" name="TTableWider" displayName="TTableWider" ref="A1:C8" totalsRowShown="0">
  <autoFilter ref="A1:C8" xr:uid="{B55ABC69-ABBE-4DA1-86FD-DE83274949CB}"/>
  <tableColumns count="3">
    <tableColumn id="1" xr3:uid="{A6D1D420-BBDE-4766-B550-FC22A11E3208}" name="k"/>
    <tableColumn id="2" xr3:uid="{319DE8A6-262F-4C5A-A1B4-16DA1B56BD19}" name="n"/>
    <tableColumn id="3" xr3:uid="{9DB3B652-5F2C-4EC1-B367-7A5F431AA75D}" name="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93B42F-9927-452E-9F15-AB8EAAC0F454}" name="TTableLonger" displayName="TTableLonger" ref="A1:C8" totalsRowShown="0">
  <autoFilter ref="A1:C8" xr:uid="{BA93B42F-9927-452E-9F15-AB8EAAC0F454}"/>
  <tableColumns count="3">
    <tableColumn id="1" xr3:uid="{34449552-06D0-4181-96E6-3E0C84E41B70}" name="k"/>
    <tableColumn id="2" xr3:uid="{3B3C1BFA-F2F4-4406-9001-E694A34D2E78}" name="n"/>
    <tableColumn id="3" xr3:uid="{2397E818-8931-4F3F-A8CA-8EDBDAC7A47D}" name="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removed" TargetMode="External"/><Relationship Id="rId1" Type="http://schemas.openxmlformats.org/officeDocument/2006/relationships/hyperlink" Target="https://example.com/kept" TargetMode="External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ample.com/moves" TargetMode="External"/><Relationship Id="rId1" Type="http://schemas.openxmlformats.org/officeDocument/2006/relationships/hyperlink" Target="https://example.com/removed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ample.com/moves" TargetMode="External"/><Relationship Id="rId1" Type="http://schemas.openxmlformats.org/officeDocument/2006/relationships/hyperlink" Target="https://example.com/removed" TargetMode="External"/><Relationship Id="rId6" Type="http://schemas.openxmlformats.org/officeDocument/2006/relationships/comments" Target="../comments3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77A5-D8DE-40C3-A0D4-4B46DE50B2EC}">
  <sheetPr codeName="Sheet1"/>
  <dimension ref="A1:B36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5" spans="1:2" x14ac:dyDescent="0.25">
      <c r="A5" t="s">
        <v>0</v>
      </c>
      <c r="B5" t="s">
        <v>1</v>
      </c>
    </row>
    <row r="6" spans="1:2" x14ac:dyDescent="0.25">
      <c r="A6">
        <v>1</v>
      </c>
      <c r="B6" t="s">
        <v>2</v>
      </c>
    </row>
    <row r="7" spans="1:2" x14ac:dyDescent="0.25">
      <c r="A7">
        <f>1+2^-52</f>
        <v>1.0000000000000002</v>
      </c>
      <c r="B7" t="s">
        <v>3</v>
      </c>
    </row>
    <row r="9" spans="1:2" x14ac:dyDescent="0.25">
      <c r="A9" t="s">
        <v>0</v>
      </c>
      <c r="B9" t="s">
        <v>1</v>
      </c>
    </row>
    <row r="10" spans="1:2" x14ac:dyDescent="0.25">
      <c r="A10">
        <v>0.1</v>
      </c>
      <c r="B10" t="s">
        <v>2</v>
      </c>
    </row>
    <row r="11" spans="1:2" x14ac:dyDescent="0.25">
      <c r="A11">
        <f>0.3-0.2</f>
        <v>9.9999999999999978E-2</v>
      </c>
      <c r="B11" t="s">
        <v>3</v>
      </c>
    </row>
    <row r="13" spans="1:2" x14ac:dyDescent="0.25">
      <c r="A13" t="s">
        <v>0</v>
      </c>
      <c r="B13" t="s">
        <v>1</v>
      </c>
    </row>
    <row r="14" spans="1:2" x14ac:dyDescent="0.25">
      <c r="A14">
        <v>1</v>
      </c>
      <c r="B14" t="s">
        <v>2</v>
      </c>
    </row>
    <row r="15" spans="1:2" x14ac:dyDescent="0.25">
      <c r="A15" s="1">
        <v>1</v>
      </c>
      <c r="B15" t="s">
        <v>3</v>
      </c>
    </row>
    <row r="17" spans="1:2" x14ac:dyDescent="0.25">
      <c r="A17" t="s">
        <v>0</v>
      </c>
      <c r="B17" t="s">
        <v>1</v>
      </c>
    </row>
    <row r="18" spans="1:2" x14ac:dyDescent="0.25">
      <c r="A18" s="2">
        <v>43845</v>
      </c>
      <c r="B18" t="s">
        <v>2</v>
      </c>
    </row>
    <row r="19" spans="1:2" x14ac:dyDescent="0.25">
      <c r="A19">
        <v>43845</v>
      </c>
      <c r="B19" t="s">
        <v>3</v>
      </c>
    </row>
    <row r="21" spans="1:2" x14ac:dyDescent="0.25">
      <c r="A21" t="s">
        <v>0</v>
      </c>
      <c r="B21" t="s">
        <v>1</v>
      </c>
    </row>
    <row r="22" spans="1:2" x14ac:dyDescent="0.25">
      <c r="A22" s="2">
        <v>43845</v>
      </c>
      <c r="B22" t="s">
        <v>2</v>
      </c>
    </row>
    <row r="23" spans="1:2" x14ac:dyDescent="0.25">
      <c r="A23" s="3">
        <v>43845</v>
      </c>
      <c r="B23" t="s">
        <v>3</v>
      </c>
    </row>
    <row r="25" spans="1:2" x14ac:dyDescent="0.25">
      <c r="A25" t="s">
        <v>0</v>
      </c>
      <c r="B25" t="s">
        <v>1</v>
      </c>
    </row>
    <row r="26" spans="1:2" x14ac:dyDescent="0.25">
      <c r="A26">
        <v>1.23456789012345</v>
      </c>
      <c r="B26" t="s">
        <v>2</v>
      </c>
    </row>
    <row r="27" spans="1:2" x14ac:dyDescent="0.25">
      <c r="A27">
        <v>1.23456789012346</v>
      </c>
      <c r="B27" t="s">
        <v>3</v>
      </c>
    </row>
    <row r="29" spans="1:2" x14ac:dyDescent="0.25">
      <c r="A29" t="s">
        <v>0</v>
      </c>
      <c r="B29" t="s">
        <v>1</v>
      </c>
    </row>
    <row r="30" spans="1:2" x14ac:dyDescent="0.25">
      <c r="A30">
        <v>12345678901</v>
      </c>
      <c r="B30" t="s">
        <v>2</v>
      </c>
    </row>
    <row r="31" spans="1:2" x14ac:dyDescent="0.25">
      <c r="A31">
        <v>12345678902</v>
      </c>
      <c r="B31" t="s">
        <v>3</v>
      </c>
    </row>
    <row r="33" spans="1:2" x14ac:dyDescent="0.25">
      <c r="A33" t="s">
        <v>0</v>
      </c>
      <c r="B33" t="s">
        <v>1</v>
      </c>
    </row>
    <row r="34" spans="1:2" x14ac:dyDescent="0.25">
      <c r="A34">
        <v>123456789012</v>
      </c>
      <c r="B34" t="s">
        <v>2</v>
      </c>
    </row>
    <row r="35" spans="1:2" x14ac:dyDescent="0.25">
      <c r="A35">
        <v>123456789013</v>
      </c>
      <c r="B35" t="s">
        <v>3</v>
      </c>
    </row>
    <row r="37" spans="1:2" x14ac:dyDescent="0.25">
      <c r="A37" t="s">
        <v>0</v>
      </c>
      <c r="B37" t="s">
        <v>1</v>
      </c>
    </row>
    <row r="38" spans="1:2" x14ac:dyDescent="0.25">
      <c r="A38" s="4">
        <v>1.5</v>
      </c>
      <c r="B38" t="s">
        <v>2</v>
      </c>
    </row>
    <row r="39" spans="1:2" x14ac:dyDescent="0.25">
      <c r="A39">
        <v>2</v>
      </c>
      <c r="B39" t="s">
        <v>3</v>
      </c>
    </row>
    <row r="41" spans="1:2" x14ac:dyDescent="0.25">
      <c r="A41" t="s">
        <v>0</v>
      </c>
      <c r="B41" t="s">
        <v>1</v>
      </c>
    </row>
    <row r="42" spans="1:2" x14ac:dyDescent="0.25">
      <c r="A42" s="4">
        <v>2</v>
      </c>
      <c r="B42" t="s">
        <v>2</v>
      </c>
    </row>
    <row r="43" spans="1:2" x14ac:dyDescent="0.25">
      <c r="A43">
        <v>2</v>
      </c>
      <c r="B43" t="s">
        <v>3</v>
      </c>
    </row>
    <row r="45" spans="1:2" x14ac:dyDescent="0.25">
      <c r="A45" t="s">
        <v>0</v>
      </c>
      <c r="B45" t="s">
        <v>1</v>
      </c>
    </row>
    <row r="46" spans="1:2" x14ac:dyDescent="0.25">
      <c r="A46" s="4">
        <v>1.5</v>
      </c>
      <c r="B46" t="s">
        <v>2</v>
      </c>
    </row>
    <row r="47" spans="1:2" x14ac:dyDescent="0.25">
      <c r="A47" s="5">
        <v>1.5</v>
      </c>
      <c r="B47" t="s">
        <v>3</v>
      </c>
    </row>
    <row r="49" spans="1:2" x14ac:dyDescent="0.25">
      <c r="A49" t="s">
        <v>0</v>
      </c>
      <c r="B49" t="s">
        <v>1</v>
      </c>
    </row>
    <row r="50" spans="1:2" x14ac:dyDescent="0.25">
      <c r="A50" s="6">
        <v>1E+20</v>
      </c>
      <c r="B50" t="s">
        <v>2</v>
      </c>
    </row>
    <row r="51" spans="1:2" x14ac:dyDescent="0.25">
      <c r="A51">
        <v>1E+20</v>
      </c>
      <c r="B51" t="s">
        <v>3</v>
      </c>
    </row>
    <row r="53" spans="1:2" x14ac:dyDescent="0.25">
      <c r="A53" t="s">
        <v>0</v>
      </c>
      <c r="B53" t="s">
        <v>1</v>
      </c>
    </row>
    <row r="54" spans="1:2" x14ac:dyDescent="0.25">
      <c r="A54" s="7">
        <v>0.5</v>
      </c>
      <c r="B54" t="s">
        <v>2</v>
      </c>
    </row>
    <row r="55" spans="1:2" x14ac:dyDescent="0.25">
      <c r="A55">
        <v>0.5</v>
      </c>
      <c r="B55" t="s">
        <v>3</v>
      </c>
    </row>
    <row r="57" spans="1:2" x14ac:dyDescent="0.25">
      <c r="A57" t="s">
        <v>0</v>
      </c>
      <c r="B57" t="s">
        <v>1</v>
      </c>
    </row>
    <row r="58" spans="1:2" x14ac:dyDescent="0.25">
      <c r="A58" s="7">
        <v>0.5</v>
      </c>
      <c r="B58" t="s">
        <v>2</v>
      </c>
    </row>
    <row r="59" spans="1:2" x14ac:dyDescent="0.25">
      <c r="A59" s="7">
        <v>0.5</v>
      </c>
      <c r="B59" t="s">
        <v>3</v>
      </c>
    </row>
    <row r="61" spans="1:2" x14ac:dyDescent="0.25">
      <c r="A61" t="s">
        <v>0</v>
      </c>
      <c r="B61" t="s">
        <v>1</v>
      </c>
    </row>
    <row r="62" spans="1:2" x14ac:dyDescent="0.25">
      <c r="A62" s="7">
        <v>0.5</v>
      </c>
      <c r="B62" t="s">
        <v>2</v>
      </c>
    </row>
    <row r="63" spans="1:2" x14ac:dyDescent="0.25">
      <c r="A63" s="8">
        <v>0.5</v>
      </c>
      <c r="B63" t="s">
        <v>3</v>
      </c>
    </row>
    <row r="65" spans="1:2" x14ac:dyDescent="0.25">
      <c r="A65" t="s">
        <v>0</v>
      </c>
      <c r="B65" t="s">
        <v>1</v>
      </c>
    </row>
    <row r="66" spans="1:2" x14ac:dyDescent="0.25">
      <c r="A66" s="2">
        <v>43845</v>
      </c>
      <c r="B66" t="s">
        <v>2</v>
      </c>
    </row>
    <row r="67" spans="1:2" x14ac:dyDescent="0.25">
      <c r="A67" s="2">
        <v>43845.5</v>
      </c>
      <c r="B67" t="s">
        <v>3</v>
      </c>
    </row>
    <row r="69" spans="1:2" x14ac:dyDescent="0.25">
      <c r="A69" t="s">
        <v>0</v>
      </c>
      <c r="B69" t="s">
        <v>1</v>
      </c>
    </row>
    <row r="70" spans="1:2" x14ac:dyDescent="0.25">
      <c r="A70" s="9">
        <v>0.5</v>
      </c>
      <c r="B70" t="s">
        <v>2</v>
      </c>
    </row>
    <row r="71" spans="1:2" x14ac:dyDescent="0.25">
      <c r="A71" s="9">
        <v>0.50000009999999995</v>
      </c>
      <c r="B71" t="s">
        <v>3</v>
      </c>
    </row>
    <row r="73" spans="1:2" x14ac:dyDescent="0.25">
      <c r="A73" t="s">
        <v>0</v>
      </c>
      <c r="B73" t="s">
        <v>1</v>
      </c>
    </row>
    <row r="74" spans="1:2" x14ac:dyDescent="0.25">
      <c r="A74">
        <v>1</v>
      </c>
      <c r="B74" t="s">
        <v>2</v>
      </c>
    </row>
    <row r="75" spans="1:2" x14ac:dyDescent="0.25">
      <c r="A75" s="10">
        <v>1</v>
      </c>
      <c r="B75" t="s">
        <v>3</v>
      </c>
    </row>
    <row r="77" spans="1:2" x14ac:dyDescent="0.25">
      <c r="A77" t="s">
        <v>0</v>
      </c>
      <c r="B77" t="s">
        <v>1</v>
      </c>
    </row>
    <row r="78" spans="1:2" x14ac:dyDescent="0.25">
      <c r="A78" s="4">
        <v>1</v>
      </c>
      <c r="B78" t="s">
        <v>2</v>
      </c>
    </row>
    <row r="79" spans="1:2" x14ac:dyDescent="0.25">
      <c r="A79">
        <v>1</v>
      </c>
      <c r="B79" t="s">
        <v>3</v>
      </c>
    </row>
    <row r="81" spans="1:2" x14ac:dyDescent="0.25">
      <c r="A81" t="s">
        <v>0</v>
      </c>
      <c r="B81" t="s">
        <v>1</v>
      </c>
    </row>
    <row r="82" spans="1:2" x14ac:dyDescent="0.25">
      <c r="A82" s="11">
        <v>-1</v>
      </c>
      <c r="B82" t="s">
        <v>2</v>
      </c>
    </row>
    <row r="83" spans="1:2" x14ac:dyDescent="0.25">
      <c r="A83">
        <v>1</v>
      </c>
      <c r="B83" t="s">
        <v>3</v>
      </c>
    </row>
    <row r="85" spans="1:2" x14ac:dyDescent="0.25">
      <c r="A85" t="s">
        <v>0</v>
      </c>
      <c r="B85" t="s">
        <v>1</v>
      </c>
    </row>
    <row r="86" spans="1:2" x14ac:dyDescent="0.25">
      <c r="A86" s="11">
        <v>-1</v>
      </c>
      <c r="B86" t="s">
        <v>2</v>
      </c>
    </row>
    <row r="87" spans="1:2" x14ac:dyDescent="0.25">
      <c r="A87">
        <v>-1</v>
      </c>
      <c r="B87" t="s">
        <v>3</v>
      </c>
    </row>
    <row r="89" spans="1:2" x14ac:dyDescent="0.25">
      <c r="A89" t="s">
        <v>0</v>
      </c>
      <c r="B89" t="s">
        <v>1</v>
      </c>
    </row>
    <row r="90" spans="1:2" x14ac:dyDescent="0.25">
      <c r="A90" s="12">
        <v>1234</v>
      </c>
      <c r="B90" t="s">
        <v>2</v>
      </c>
    </row>
    <row r="91" spans="1:2" x14ac:dyDescent="0.25">
      <c r="A91" s="4">
        <v>1234</v>
      </c>
      <c r="B91" t="s">
        <v>3</v>
      </c>
    </row>
    <row r="93" spans="1:2" x14ac:dyDescent="0.25">
      <c r="A93" t="s">
        <v>0</v>
      </c>
      <c r="B93" t="s">
        <v>1</v>
      </c>
    </row>
    <row r="94" spans="1:2" x14ac:dyDescent="0.25">
      <c r="A94" s="13">
        <v>1234</v>
      </c>
      <c r="B94" t="s">
        <v>2</v>
      </c>
    </row>
    <row r="95" spans="1:2" x14ac:dyDescent="0.25">
      <c r="A95" s="14">
        <v>1234</v>
      </c>
      <c r="B95" t="s">
        <v>3</v>
      </c>
    </row>
    <row r="97" spans="1:2" x14ac:dyDescent="0.25">
      <c r="A97" t="s">
        <v>0</v>
      </c>
      <c r="B97" t="s">
        <v>1</v>
      </c>
    </row>
    <row r="98" spans="1:2" x14ac:dyDescent="0.25">
      <c r="A98">
        <f>1</f>
        <v>1</v>
      </c>
      <c r="B98" t="s">
        <v>2</v>
      </c>
    </row>
    <row r="99" spans="1:2" x14ac:dyDescent="0.25">
      <c r="A99">
        <v>1</v>
      </c>
      <c r="B99" t="s">
        <v>3</v>
      </c>
    </row>
    <row r="101" spans="1:2" x14ac:dyDescent="0.25">
      <c r="A101" t="s">
        <v>0</v>
      </c>
      <c r="B101" t="s">
        <v>1</v>
      </c>
    </row>
    <row r="102" spans="1:2" x14ac:dyDescent="0.25">
      <c r="A102">
        <v>0</v>
      </c>
      <c r="B102" t="s">
        <v>2</v>
      </c>
    </row>
    <row r="103" spans="1:2" x14ac:dyDescent="0.25">
      <c r="A103">
        <f>0*-1</f>
        <v>0</v>
      </c>
      <c r="B103" t="s">
        <v>3</v>
      </c>
    </row>
    <row r="105" spans="1:2" x14ac:dyDescent="0.25">
      <c r="A105" t="s">
        <v>0</v>
      </c>
      <c r="B105" t="s">
        <v>1</v>
      </c>
    </row>
    <row r="106" spans="1:2" x14ac:dyDescent="0.25">
      <c r="A106">
        <v>1</v>
      </c>
      <c r="B106" t="s">
        <v>2</v>
      </c>
    </row>
    <row r="107" spans="1:2" x14ac:dyDescent="0.25">
      <c r="A107" t="str">
        <f>"1"</f>
        <v>1</v>
      </c>
      <c r="B107" t="s">
        <v>3</v>
      </c>
    </row>
    <row r="109" spans="1:2" x14ac:dyDescent="0.25">
      <c r="A109" t="s">
        <v>0</v>
      </c>
      <c r="B109" t="s">
        <v>1</v>
      </c>
    </row>
    <row r="110" spans="1:2" x14ac:dyDescent="0.25">
      <c r="A110">
        <v>1</v>
      </c>
      <c r="B110" t="s">
        <v>2</v>
      </c>
    </row>
    <row r="111" spans="1:2" x14ac:dyDescent="0.25">
      <c r="A111" s="15" t="s">
        <v>4</v>
      </c>
      <c r="B111" t="s">
        <v>3</v>
      </c>
    </row>
    <row r="113" spans="1:2" x14ac:dyDescent="0.25">
      <c r="A113" t="s">
        <v>0</v>
      </c>
      <c r="B113" t="s">
        <v>1</v>
      </c>
    </row>
    <row r="114" spans="1:2" x14ac:dyDescent="0.25">
      <c r="A114">
        <v>1</v>
      </c>
      <c r="B114" t="s">
        <v>2</v>
      </c>
    </row>
    <row r="115" spans="1:2" x14ac:dyDescent="0.25">
      <c r="A115" s="10" t="s">
        <v>4</v>
      </c>
      <c r="B115" t="s">
        <v>3</v>
      </c>
    </row>
    <row r="117" spans="1:2" x14ac:dyDescent="0.25">
      <c r="A117" t="s">
        <v>0</v>
      </c>
      <c r="B117" t="s">
        <v>1</v>
      </c>
    </row>
    <row r="118" spans="1:2" x14ac:dyDescent="0.25">
      <c r="A118">
        <v>1</v>
      </c>
      <c r="B118" t="s">
        <v>2</v>
      </c>
    </row>
    <row r="119" spans="1:2" x14ac:dyDescent="0.25">
      <c r="A119" t="b">
        <v>1</v>
      </c>
      <c r="B119" t="s">
        <v>3</v>
      </c>
    </row>
    <row r="121" spans="1:2" x14ac:dyDescent="0.25">
      <c r="A121" t="s">
        <v>0</v>
      </c>
      <c r="B121" t="s">
        <v>1</v>
      </c>
    </row>
    <row r="122" spans="1:2" x14ac:dyDescent="0.25">
      <c r="A122">
        <v>0</v>
      </c>
      <c r="B122" t="s">
        <v>2</v>
      </c>
    </row>
    <row r="123" spans="1:2" x14ac:dyDescent="0.25">
      <c r="A123" t="b">
        <v>0</v>
      </c>
      <c r="B123" t="s">
        <v>3</v>
      </c>
    </row>
    <row r="125" spans="1:2" x14ac:dyDescent="0.25">
      <c r="A125" t="s">
        <v>0</v>
      </c>
      <c r="B125" t="s">
        <v>1</v>
      </c>
    </row>
    <row r="126" spans="1:2" x14ac:dyDescent="0.25">
      <c r="A126" s="15" t="s">
        <v>5</v>
      </c>
      <c r="B126" t="s">
        <v>2</v>
      </c>
    </row>
    <row r="127" spans="1:2" x14ac:dyDescent="0.25">
      <c r="A127" s="2">
        <v>43845</v>
      </c>
      <c r="B127" t="s">
        <v>3</v>
      </c>
    </row>
    <row r="129" spans="1:2" x14ac:dyDescent="0.25">
      <c r="A129" t="s">
        <v>0</v>
      </c>
      <c r="B129" t="s">
        <v>1</v>
      </c>
    </row>
    <row r="130" spans="1:2" x14ac:dyDescent="0.25">
      <c r="A130" s="15" t="s">
        <v>6</v>
      </c>
      <c r="B130" t="s">
        <v>2</v>
      </c>
    </row>
    <row r="131" spans="1:2" x14ac:dyDescent="0.25">
      <c r="A131" s="1">
        <v>43845</v>
      </c>
      <c r="B131" t="s">
        <v>3</v>
      </c>
    </row>
    <row r="133" spans="1:2" x14ac:dyDescent="0.25">
      <c r="A133" t="s">
        <v>0</v>
      </c>
      <c r="B133" t="s">
        <v>1</v>
      </c>
    </row>
    <row r="134" spans="1:2" x14ac:dyDescent="0.25">
      <c r="A134" t="s">
        <v>7</v>
      </c>
      <c r="B134" t="s">
        <v>2</v>
      </c>
    </row>
    <row r="135" spans="1:2" x14ac:dyDescent="0.25">
      <c r="A135" t="s">
        <v>8</v>
      </c>
      <c r="B135" t="s">
        <v>3</v>
      </c>
    </row>
    <row r="137" spans="1:2" x14ac:dyDescent="0.25">
      <c r="A137" t="s">
        <v>0</v>
      </c>
      <c r="B137" t="s">
        <v>1</v>
      </c>
    </row>
    <row r="138" spans="1:2" x14ac:dyDescent="0.25">
      <c r="A138" t="s">
        <v>7</v>
      </c>
      <c r="B138" t="s">
        <v>2</v>
      </c>
    </row>
    <row r="139" spans="1:2" x14ac:dyDescent="0.25">
      <c r="A139" t="str">
        <f>"a"</f>
        <v>a</v>
      </c>
      <c r="B139" t="s">
        <v>3</v>
      </c>
    </row>
    <row r="141" spans="1:2" x14ac:dyDescent="0.25">
      <c r="A141" t="s">
        <v>0</v>
      </c>
      <c r="B141" t="s">
        <v>1</v>
      </c>
    </row>
    <row r="142" spans="1:2" x14ac:dyDescent="0.25">
      <c r="A142" s="15" t="s">
        <v>9</v>
      </c>
      <c r="B142" t="s">
        <v>2</v>
      </c>
    </row>
    <row r="143" spans="1:2" x14ac:dyDescent="0.25">
      <c r="A143" t="str">
        <f>"X"</f>
        <v>X</v>
      </c>
      <c r="B143" t="s">
        <v>3</v>
      </c>
    </row>
    <row r="145" spans="1:2" x14ac:dyDescent="0.25">
      <c r="A145" t="s">
        <v>0</v>
      </c>
      <c r="B145" t="s">
        <v>1</v>
      </c>
    </row>
    <row r="146" spans="1:2" x14ac:dyDescent="0.25">
      <c r="A146" s="15" t="s">
        <v>10</v>
      </c>
      <c r="B146" t="s">
        <v>2</v>
      </c>
    </row>
    <row r="147" spans="1:2" x14ac:dyDescent="0.25">
      <c r="A147" s="15" t="s">
        <v>11</v>
      </c>
      <c r="B147" t="s">
        <v>3</v>
      </c>
    </row>
    <row r="149" spans="1:2" x14ac:dyDescent="0.25">
      <c r="A149" t="s">
        <v>0</v>
      </c>
      <c r="B149" t="s">
        <v>1</v>
      </c>
    </row>
    <row r="150" spans="1:2" x14ac:dyDescent="0.25">
      <c r="A150" s="15" t="s">
        <v>10</v>
      </c>
      <c r="B150" t="s">
        <v>2</v>
      </c>
    </row>
    <row r="151" spans="1:2" x14ac:dyDescent="0.25">
      <c r="A151" s="15" t="s">
        <v>12</v>
      </c>
      <c r="B151" t="s">
        <v>3</v>
      </c>
    </row>
    <row r="153" spans="1:2" x14ac:dyDescent="0.25">
      <c r="A153" t="s">
        <v>0</v>
      </c>
      <c r="B153" t="s">
        <v>1</v>
      </c>
    </row>
    <row r="154" spans="1:2" x14ac:dyDescent="0.25">
      <c r="A154" s="15" t="s">
        <v>13</v>
      </c>
      <c r="B154" t="s">
        <v>2</v>
      </c>
    </row>
    <row r="155" spans="1:2" x14ac:dyDescent="0.25">
      <c r="A155" s="15" t="s">
        <v>14</v>
      </c>
      <c r="B155" t="s">
        <v>3</v>
      </c>
    </row>
    <row r="157" spans="1:2" x14ac:dyDescent="0.25">
      <c r="A157" t="s">
        <v>0</v>
      </c>
      <c r="B157" t="s">
        <v>1</v>
      </c>
    </row>
    <row r="158" spans="1:2" x14ac:dyDescent="0.25">
      <c r="A158" s="15" t="s">
        <v>15</v>
      </c>
      <c r="B158" t="s">
        <v>2</v>
      </c>
    </row>
    <row r="159" spans="1:2" x14ac:dyDescent="0.25">
      <c r="A159" s="15" t="s">
        <v>16</v>
      </c>
      <c r="B159" t="s">
        <v>3</v>
      </c>
    </row>
    <row r="161" spans="1:2" x14ac:dyDescent="0.25">
      <c r="A161" t="s">
        <v>0</v>
      </c>
      <c r="B161" t="s">
        <v>1</v>
      </c>
    </row>
    <row r="162" spans="1:2" x14ac:dyDescent="0.25">
      <c r="A162" s="15" t="s">
        <v>17</v>
      </c>
      <c r="B162" t="s">
        <v>2</v>
      </c>
    </row>
    <row r="163" spans="1:2" x14ac:dyDescent="0.25">
      <c r="A163" s="15" t="s">
        <v>18</v>
      </c>
      <c r="B163" t="s">
        <v>3</v>
      </c>
    </row>
    <row r="165" spans="1:2" x14ac:dyDescent="0.25">
      <c r="A165" t="s">
        <v>0</v>
      </c>
      <c r="B165" t="s">
        <v>1</v>
      </c>
    </row>
    <row r="166" spans="1:2" x14ac:dyDescent="0.25">
      <c r="A166" s="15" t="s">
        <v>19</v>
      </c>
      <c r="B166" t="s">
        <v>2</v>
      </c>
    </row>
    <row r="167" spans="1:2" x14ac:dyDescent="0.25">
      <c r="A167" s="15" t="s">
        <v>7</v>
      </c>
      <c r="B167" t="s">
        <v>3</v>
      </c>
    </row>
    <row r="169" spans="1:2" x14ac:dyDescent="0.25">
      <c r="A169" t="s">
        <v>0</v>
      </c>
      <c r="B169" t="s">
        <v>1</v>
      </c>
    </row>
    <row r="170" spans="1:2" x14ac:dyDescent="0.25">
      <c r="A170" s="15" t="s">
        <v>20</v>
      </c>
      <c r="B170" t="s">
        <v>2</v>
      </c>
    </row>
    <row r="171" spans="1:2" x14ac:dyDescent="0.25">
      <c r="A171" s="15" t="s">
        <v>21</v>
      </c>
      <c r="B171" t="s">
        <v>3</v>
      </c>
    </row>
    <row r="173" spans="1:2" x14ac:dyDescent="0.25">
      <c r="A173" t="s">
        <v>0</v>
      </c>
      <c r="B173" t="s">
        <v>1</v>
      </c>
    </row>
    <row r="174" spans="1:2" x14ac:dyDescent="0.25">
      <c r="A174" s="15" t="s">
        <v>22</v>
      </c>
      <c r="B174" t="s">
        <v>2</v>
      </c>
    </row>
    <row r="175" spans="1:2" x14ac:dyDescent="0.25">
      <c r="A175" s="15" t="s">
        <v>4</v>
      </c>
      <c r="B175" t="s">
        <v>3</v>
      </c>
    </row>
    <row r="177" spans="1:2" x14ac:dyDescent="0.25">
      <c r="A177" t="s">
        <v>0</v>
      </c>
      <c r="B177" t="s">
        <v>1</v>
      </c>
    </row>
    <row r="178" spans="1:2" x14ac:dyDescent="0.25">
      <c r="A178" s="15" t="s">
        <v>23</v>
      </c>
      <c r="B178" t="s">
        <v>2</v>
      </c>
    </row>
    <row r="179" spans="1:2" x14ac:dyDescent="0.25">
      <c r="A179" s="15" t="s">
        <v>24</v>
      </c>
      <c r="B179" t="s">
        <v>3</v>
      </c>
    </row>
    <row r="181" spans="1:2" x14ac:dyDescent="0.25">
      <c r="A181" t="s">
        <v>0</v>
      </c>
      <c r="B181" t="s">
        <v>1</v>
      </c>
    </row>
    <row r="182" spans="1:2" x14ac:dyDescent="0.25">
      <c r="A182" s="15" t="s">
        <v>25</v>
      </c>
      <c r="B182" t="s">
        <v>2</v>
      </c>
    </row>
    <row r="183" spans="1:2" x14ac:dyDescent="0.25">
      <c r="A183" s="15" t="s">
        <v>26</v>
      </c>
      <c r="B183" t="s">
        <v>3</v>
      </c>
    </row>
    <row r="185" spans="1:2" x14ac:dyDescent="0.25">
      <c r="A185" t="s">
        <v>0</v>
      </c>
      <c r="B185" t="s">
        <v>1</v>
      </c>
    </row>
    <row r="186" spans="1:2" x14ac:dyDescent="0.25">
      <c r="A186" s="15" t="s">
        <v>27</v>
      </c>
      <c r="B186" t="s">
        <v>2</v>
      </c>
    </row>
    <row r="187" spans="1:2" x14ac:dyDescent="0.25">
      <c r="A187" s="15" t="s">
        <v>28</v>
      </c>
      <c r="B187" t="s">
        <v>3</v>
      </c>
    </row>
    <row r="189" spans="1:2" x14ac:dyDescent="0.25">
      <c r="A189" t="s">
        <v>0</v>
      </c>
      <c r="B189" t="s">
        <v>1</v>
      </c>
    </row>
    <row r="190" spans="1:2" x14ac:dyDescent="0.25">
      <c r="A190" s="15" t="s">
        <v>29</v>
      </c>
      <c r="B190" t="s">
        <v>2</v>
      </c>
    </row>
    <row r="191" spans="1:2" x14ac:dyDescent="0.25">
      <c r="A191" s="15" t="s">
        <v>30</v>
      </c>
      <c r="B191" t="s">
        <v>3</v>
      </c>
    </row>
    <row r="193" spans="1:2" x14ac:dyDescent="0.25">
      <c r="A193" t="s">
        <v>0</v>
      </c>
      <c r="B193" t="s">
        <v>1</v>
      </c>
    </row>
    <row r="194" spans="1:2" x14ac:dyDescent="0.25">
      <c r="A194" s="15" t="s">
        <v>31</v>
      </c>
      <c r="B194" t="s">
        <v>2</v>
      </c>
    </row>
    <row r="195" spans="1:2" x14ac:dyDescent="0.25">
      <c r="A195" s="15" t="s">
        <v>32</v>
      </c>
      <c r="B195" t="s">
        <v>3</v>
      </c>
    </row>
    <row r="197" spans="1:2" x14ac:dyDescent="0.25">
      <c r="A197" t="s">
        <v>0</v>
      </c>
      <c r="B197" t="s">
        <v>1</v>
      </c>
    </row>
    <row r="198" spans="1:2" x14ac:dyDescent="0.25">
      <c r="A198" s="15" t="s">
        <v>33</v>
      </c>
      <c r="B198" t="s">
        <v>2</v>
      </c>
    </row>
    <row r="199" spans="1:2" x14ac:dyDescent="0.25">
      <c r="A199" s="15" t="s">
        <v>16</v>
      </c>
      <c r="B199" t="s">
        <v>3</v>
      </c>
    </row>
    <row r="201" spans="1:2" x14ac:dyDescent="0.25">
      <c r="A201" t="s">
        <v>0</v>
      </c>
      <c r="B201" t="s">
        <v>1</v>
      </c>
    </row>
    <row r="202" spans="1:2" x14ac:dyDescent="0.25">
      <c r="A202" s="15" t="s">
        <v>34</v>
      </c>
      <c r="B202" t="s">
        <v>2</v>
      </c>
    </row>
    <row r="203" spans="1:2" x14ac:dyDescent="0.25">
      <c r="A203" s="15" t="s">
        <v>16</v>
      </c>
      <c r="B203" t="s">
        <v>3</v>
      </c>
    </row>
    <row r="205" spans="1:2" x14ac:dyDescent="0.25">
      <c r="A205" t="s">
        <v>0</v>
      </c>
      <c r="B205" t="s">
        <v>1</v>
      </c>
    </row>
    <row r="206" spans="1:2" x14ac:dyDescent="0.25">
      <c r="A206" s="15" t="s">
        <v>35</v>
      </c>
      <c r="B206" t="s">
        <v>2</v>
      </c>
    </row>
    <row r="207" spans="1:2" x14ac:dyDescent="0.25">
      <c r="A207" s="15" t="s">
        <v>16</v>
      </c>
      <c r="B207" t="s">
        <v>3</v>
      </c>
    </row>
    <row r="209" spans="1:2" x14ac:dyDescent="0.25">
      <c r="A209" t="s">
        <v>0</v>
      </c>
      <c r="B209" t="s">
        <v>1</v>
      </c>
    </row>
    <row r="210" spans="1:2" x14ac:dyDescent="0.25">
      <c r="A210" s="15" t="s">
        <v>36</v>
      </c>
      <c r="B210" t="s">
        <v>2</v>
      </c>
    </row>
    <row r="211" spans="1:2" x14ac:dyDescent="0.25">
      <c r="A211" s="15" t="s">
        <v>15</v>
      </c>
      <c r="B211" t="s">
        <v>3</v>
      </c>
    </row>
    <row r="213" spans="1:2" x14ac:dyDescent="0.25">
      <c r="A213" t="s">
        <v>0</v>
      </c>
      <c r="B213" t="s">
        <v>1</v>
      </c>
    </row>
    <row r="214" spans="1:2" x14ac:dyDescent="0.25">
      <c r="A214" s="15" t="s">
        <v>37</v>
      </c>
      <c r="B214" t="s">
        <v>2</v>
      </c>
    </row>
    <row r="215" spans="1:2" x14ac:dyDescent="0.25">
      <c r="A215" s="15" t="s">
        <v>38</v>
      </c>
      <c r="B215" t="s">
        <v>3</v>
      </c>
    </row>
    <row r="217" spans="1:2" x14ac:dyDescent="0.25">
      <c r="A217" t="s">
        <v>0</v>
      </c>
      <c r="B217" t="s">
        <v>1</v>
      </c>
    </row>
    <row r="218" spans="1:2" x14ac:dyDescent="0.25">
      <c r="A218" s="15" t="s">
        <v>39</v>
      </c>
      <c r="B218" t="s">
        <v>2</v>
      </c>
    </row>
    <row r="219" spans="1:2" x14ac:dyDescent="0.25">
      <c r="A219" s="15" t="s">
        <v>40</v>
      </c>
      <c r="B219" t="s">
        <v>3</v>
      </c>
    </row>
    <row r="221" spans="1:2" x14ac:dyDescent="0.25">
      <c r="A221" t="s">
        <v>0</v>
      </c>
      <c r="B221" t="s">
        <v>1</v>
      </c>
    </row>
    <row r="222" spans="1:2" x14ac:dyDescent="0.25">
      <c r="A222" s="15" t="s">
        <v>41</v>
      </c>
      <c r="B222" t="s">
        <v>2</v>
      </c>
    </row>
    <row r="223" spans="1:2" x14ac:dyDescent="0.25">
      <c r="A223" s="15" t="s">
        <v>40</v>
      </c>
      <c r="B223" t="s">
        <v>3</v>
      </c>
    </row>
    <row r="225" spans="1:2" x14ac:dyDescent="0.25">
      <c r="A225" t="s">
        <v>0</v>
      </c>
      <c r="B225" t="s">
        <v>1</v>
      </c>
    </row>
    <row r="226" spans="1:2" x14ac:dyDescent="0.25">
      <c r="A226" s="15" t="s">
        <v>42</v>
      </c>
      <c r="B226" t="s">
        <v>2</v>
      </c>
    </row>
    <row r="227" spans="1:2" x14ac:dyDescent="0.25">
      <c r="A227" s="15" t="s">
        <v>43</v>
      </c>
      <c r="B227" t="s">
        <v>3</v>
      </c>
    </row>
    <row r="229" spans="1:2" x14ac:dyDescent="0.25">
      <c r="A229" t="s">
        <v>0</v>
      </c>
      <c r="B229" t="s">
        <v>1</v>
      </c>
    </row>
    <row r="230" spans="1:2" x14ac:dyDescent="0.25">
      <c r="A230" s="15" t="s">
        <v>44</v>
      </c>
      <c r="B230" t="s">
        <v>2</v>
      </c>
    </row>
    <row r="231" spans="1:2" x14ac:dyDescent="0.25">
      <c r="A231" s="15" t="s">
        <v>45</v>
      </c>
      <c r="B231" t="s">
        <v>3</v>
      </c>
    </row>
    <row r="233" spans="1:2" x14ac:dyDescent="0.25">
      <c r="A233" t="s">
        <v>0</v>
      </c>
      <c r="B233" t="s">
        <v>1</v>
      </c>
    </row>
    <row r="234" spans="1:2" x14ac:dyDescent="0.25">
      <c r="A234" s="15" t="s">
        <v>46</v>
      </c>
      <c r="B234" t="s">
        <v>2</v>
      </c>
    </row>
    <row r="235" spans="1:2" x14ac:dyDescent="0.25">
      <c r="A235" s="15" t="s">
        <v>47</v>
      </c>
      <c r="B235" t="s">
        <v>3</v>
      </c>
    </row>
    <row r="237" spans="1:2" x14ac:dyDescent="0.25">
      <c r="A237" t="s">
        <v>0</v>
      </c>
      <c r="B237" t="s">
        <v>1</v>
      </c>
    </row>
    <row r="238" spans="1:2" x14ac:dyDescent="0.25">
      <c r="A238" s="15" t="s">
        <v>48</v>
      </c>
      <c r="B238" t="s">
        <v>2</v>
      </c>
    </row>
    <row r="239" spans="1:2" x14ac:dyDescent="0.25">
      <c r="A239" s="15" t="s">
        <v>4</v>
      </c>
      <c r="B239" t="s">
        <v>3</v>
      </c>
    </row>
    <row r="241" spans="1:2" x14ac:dyDescent="0.25">
      <c r="A241" t="s">
        <v>0</v>
      </c>
      <c r="B241" t="s">
        <v>1</v>
      </c>
    </row>
    <row r="242" spans="1:2" x14ac:dyDescent="0.25">
      <c r="A242" s="15" t="s">
        <v>49</v>
      </c>
      <c r="B242" t="s">
        <v>2</v>
      </c>
    </row>
    <row r="243" spans="1:2" x14ac:dyDescent="0.25">
      <c r="A243" s="15" t="s">
        <v>50</v>
      </c>
      <c r="B243" t="s">
        <v>3</v>
      </c>
    </row>
    <row r="245" spans="1:2" x14ac:dyDescent="0.25">
      <c r="A245" t="s">
        <v>0</v>
      </c>
      <c r="B245" t="s">
        <v>1</v>
      </c>
    </row>
    <row r="246" spans="1:2" x14ac:dyDescent="0.25">
      <c r="A246" s="15" t="s">
        <v>51</v>
      </c>
      <c r="B246" t="s">
        <v>2</v>
      </c>
    </row>
    <row r="247" spans="1:2" x14ac:dyDescent="0.25">
      <c r="A247" s="15" t="s">
        <v>45</v>
      </c>
      <c r="B247" t="s">
        <v>3</v>
      </c>
    </row>
    <row r="249" spans="1:2" x14ac:dyDescent="0.25">
      <c r="A249" t="s">
        <v>0</v>
      </c>
      <c r="B249" t="s">
        <v>1</v>
      </c>
    </row>
    <row r="250" spans="1:2" x14ac:dyDescent="0.25">
      <c r="A250" s="15" t="s">
        <v>52</v>
      </c>
      <c r="B250" t="s">
        <v>2</v>
      </c>
    </row>
    <row r="251" spans="1:2" x14ac:dyDescent="0.25">
      <c r="A251" s="15" t="s">
        <v>53</v>
      </c>
      <c r="B251" t="s">
        <v>3</v>
      </c>
    </row>
    <row r="253" spans="1:2" x14ac:dyDescent="0.25">
      <c r="A253" t="s">
        <v>0</v>
      </c>
      <c r="B253" t="s">
        <v>1</v>
      </c>
    </row>
    <row r="254" spans="1:2" x14ac:dyDescent="0.25">
      <c r="A254" s="15" t="s">
        <v>54</v>
      </c>
      <c r="B254" t="s">
        <v>2</v>
      </c>
    </row>
    <row r="255" spans="1:2" x14ac:dyDescent="0.25">
      <c r="A255" s="15" t="s">
        <v>55</v>
      </c>
      <c r="B255" t="s">
        <v>3</v>
      </c>
    </row>
    <row r="257" spans="1:2" x14ac:dyDescent="0.25">
      <c r="A257" t="s">
        <v>0</v>
      </c>
      <c r="B257" t="s">
        <v>1</v>
      </c>
    </row>
    <row r="258" spans="1:2" x14ac:dyDescent="0.25">
      <c r="A258" s="15" t="s">
        <v>56</v>
      </c>
      <c r="B258" t="s">
        <v>2</v>
      </c>
    </row>
    <row r="259" spans="1:2" x14ac:dyDescent="0.25">
      <c r="A259" s="15" t="s">
        <v>57</v>
      </c>
      <c r="B259" t="s">
        <v>3</v>
      </c>
    </row>
    <row r="261" spans="1:2" x14ac:dyDescent="0.25">
      <c r="A261" t="s">
        <v>0</v>
      </c>
      <c r="B261" t="s">
        <v>1</v>
      </c>
    </row>
    <row r="262" spans="1:2" x14ac:dyDescent="0.25">
      <c r="A262" s="15" t="s">
        <v>58</v>
      </c>
      <c r="B262" t="s">
        <v>2</v>
      </c>
    </row>
    <row r="263" spans="1:2" x14ac:dyDescent="0.25">
      <c r="A263" s="15" t="s">
        <v>59</v>
      </c>
      <c r="B263" t="s">
        <v>3</v>
      </c>
    </row>
    <row r="265" spans="1:2" x14ac:dyDescent="0.25">
      <c r="A265" t="s">
        <v>0</v>
      </c>
      <c r="B265" t="s">
        <v>1</v>
      </c>
    </row>
    <row r="266" spans="1:2" x14ac:dyDescent="0.25">
      <c r="A266" s="15" t="s">
        <v>60</v>
      </c>
      <c r="B266" t="s">
        <v>2</v>
      </c>
    </row>
    <row r="267" spans="1:2" x14ac:dyDescent="0.25">
      <c r="A267" s="15" t="s">
        <v>58</v>
      </c>
      <c r="B267" t="s">
        <v>3</v>
      </c>
    </row>
    <row r="269" spans="1:2" x14ac:dyDescent="0.25">
      <c r="A269" t="s">
        <v>0</v>
      </c>
      <c r="B269" t="s">
        <v>1</v>
      </c>
    </row>
    <row r="270" spans="1:2" x14ac:dyDescent="0.25">
      <c r="A270" s="15" t="s">
        <v>61</v>
      </c>
      <c r="B270" t="s">
        <v>2</v>
      </c>
    </row>
    <row r="271" spans="1:2" x14ac:dyDescent="0.25">
      <c r="A271" s="15" t="s">
        <v>62</v>
      </c>
      <c r="B271" t="s">
        <v>3</v>
      </c>
    </row>
    <row r="273" spans="1:2" x14ac:dyDescent="0.25">
      <c r="A273" t="s">
        <v>0</v>
      </c>
      <c r="B273" t="s">
        <v>1</v>
      </c>
    </row>
    <row r="274" spans="1:2" x14ac:dyDescent="0.25">
      <c r="A274" s="15" t="s">
        <v>63</v>
      </c>
      <c r="B274" t="s">
        <v>2</v>
      </c>
    </row>
    <row r="275" spans="1:2" x14ac:dyDescent="0.25">
      <c r="A275" s="15" t="s">
        <v>64</v>
      </c>
      <c r="B275" t="s">
        <v>3</v>
      </c>
    </row>
    <row r="277" spans="1:2" x14ac:dyDescent="0.25">
      <c r="A277" t="s">
        <v>0</v>
      </c>
      <c r="B277" t="s">
        <v>1</v>
      </c>
    </row>
    <row r="278" spans="1:2" x14ac:dyDescent="0.25">
      <c r="A278" s="15" t="s">
        <v>65</v>
      </c>
      <c r="B278" t="s">
        <v>2</v>
      </c>
    </row>
    <row r="279" spans="1:2" x14ac:dyDescent="0.25">
      <c r="A279" s="15" t="s">
        <v>66</v>
      </c>
      <c r="B279" t="s">
        <v>3</v>
      </c>
    </row>
    <row r="281" spans="1:2" x14ac:dyDescent="0.25">
      <c r="A281" t="s">
        <v>0</v>
      </c>
      <c r="B281" t="s">
        <v>1</v>
      </c>
    </row>
    <row r="282" spans="1:2" x14ac:dyDescent="0.25">
      <c r="A282" s="15" t="s">
        <v>67</v>
      </c>
      <c r="B282" t="s">
        <v>2</v>
      </c>
    </row>
    <row r="283" spans="1:2" x14ac:dyDescent="0.25">
      <c r="A283" s="15" t="s">
        <v>68</v>
      </c>
      <c r="B283" t="s">
        <v>3</v>
      </c>
    </row>
    <row r="285" spans="1:2" x14ac:dyDescent="0.25">
      <c r="A285" t="s">
        <v>0</v>
      </c>
      <c r="B285" t="s">
        <v>1</v>
      </c>
    </row>
    <row r="286" spans="1:2" x14ac:dyDescent="0.25">
      <c r="A286" s="15" t="s">
        <v>69</v>
      </c>
      <c r="B286" t="s">
        <v>2</v>
      </c>
    </row>
    <row r="287" spans="1:2" x14ac:dyDescent="0.25">
      <c r="A287" s="15" t="s">
        <v>70</v>
      </c>
      <c r="B287" t="s">
        <v>3</v>
      </c>
    </row>
    <row r="289" spans="1:2" x14ac:dyDescent="0.25">
      <c r="A289" t="s">
        <v>0</v>
      </c>
      <c r="B289" t="s">
        <v>1</v>
      </c>
    </row>
    <row r="290" spans="1:2" x14ac:dyDescent="0.25">
      <c r="A290" s="15" t="s">
        <v>71</v>
      </c>
      <c r="B290" t="s">
        <v>2</v>
      </c>
    </row>
    <row r="291" spans="1:2" x14ac:dyDescent="0.25">
      <c r="A291" s="15" t="s">
        <v>72</v>
      </c>
      <c r="B291" t="s">
        <v>3</v>
      </c>
    </row>
    <row r="293" spans="1:2" x14ac:dyDescent="0.25">
      <c r="A293" t="s">
        <v>0</v>
      </c>
      <c r="B293" t="s">
        <v>1</v>
      </c>
    </row>
    <row r="294" spans="1:2" x14ac:dyDescent="0.25">
      <c r="A294" s="15" t="s">
        <v>73</v>
      </c>
      <c r="B294" t="s">
        <v>2</v>
      </c>
    </row>
    <row r="295" spans="1:2" x14ac:dyDescent="0.25">
      <c r="A295" s="15" t="s">
        <v>74</v>
      </c>
      <c r="B295" t="s">
        <v>3</v>
      </c>
    </row>
    <row r="297" spans="1:2" x14ac:dyDescent="0.25">
      <c r="A297" t="s">
        <v>0</v>
      </c>
      <c r="B297" t="s">
        <v>1</v>
      </c>
    </row>
    <row r="298" spans="1:2" x14ac:dyDescent="0.25">
      <c r="A298" s="16" t="s">
        <v>7</v>
      </c>
      <c r="B298" t="s">
        <v>2</v>
      </c>
    </row>
    <row r="299" spans="1:2" x14ac:dyDescent="0.25">
      <c r="A299" s="15" t="s">
        <v>7</v>
      </c>
      <c r="B299" t="s">
        <v>3</v>
      </c>
    </row>
    <row r="301" spans="1:2" x14ac:dyDescent="0.25">
      <c r="A301" t="s">
        <v>0</v>
      </c>
      <c r="B301" t="s">
        <v>1</v>
      </c>
    </row>
    <row r="302" spans="1:2" x14ac:dyDescent="0.25">
      <c r="A302" s="16" t="s">
        <v>7</v>
      </c>
      <c r="B302" t="s">
        <v>2</v>
      </c>
    </row>
    <row r="303" spans="1:2" x14ac:dyDescent="0.25">
      <c r="A303" s="16" t="s">
        <v>7</v>
      </c>
      <c r="B303" t="s">
        <v>3</v>
      </c>
    </row>
    <row r="305" spans="1:2" x14ac:dyDescent="0.25">
      <c r="A305" t="s">
        <v>0</v>
      </c>
      <c r="B305" t="s">
        <v>1</v>
      </c>
    </row>
    <row r="306" spans="1:2" x14ac:dyDescent="0.25">
      <c r="A306" s="17" t="s">
        <v>7</v>
      </c>
      <c r="B306" t="s">
        <v>2</v>
      </c>
    </row>
    <row r="307" spans="1:2" x14ac:dyDescent="0.25">
      <c r="A307" s="15" t="s">
        <v>19</v>
      </c>
      <c r="B307" t="s">
        <v>3</v>
      </c>
    </row>
    <row r="309" spans="1:2" x14ac:dyDescent="0.25">
      <c r="A309" t="s">
        <v>0</v>
      </c>
      <c r="B309" t="s">
        <v>1</v>
      </c>
    </row>
    <row r="310" spans="1:2" x14ac:dyDescent="0.25">
      <c r="A310" t="b">
        <v>1</v>
      </c>
      <c r="B310" t="s">
        <v>2</v>
      </c>
    </row>
    <row r="311" spans="1:2" x14ac:dyDescent="0.25">
      <c r="A311" s="15" t="s">
        <v>75</v>
      </c>
      <c r="B311" t="s">
        <v>3</v>
      </c>
    </row>
    <row r="313" spans="1:2" x14ac:dyDescent="0.25">
      <c r="A313" t="s">
        <v>0</v>
      </c>
      <c r="B313" t="s">
        <v>1</v>
      </c>
    </row>
    <row r="314" spans="1:2" x14ac:dyDescent="0.25">
      <c r="A314" t="b">
        <v>1</v>
      </c>
      <c r="B314" t="s">
        <v>2</v>
      </c>
    </row>
    <row r="315" spans="1:2" x14ac:dyDescent="0.25">
      <c r="A315" s="15" t="s">
        <v>76</v>
      </c>
      <c r="B315" t="s">
        <v>3</v>
      </c>
    </row>
    <row r="317" spans="1:2" x14ac:dyDescent="0.25">
      <c r="A317" t="s">
        <v>0</v>
      </c>
      <c r="B317" t="s">
        <v>1</v>
      </c>
    </row>
    <row r="318" spans="1:2" x14ac:dyDescent="0.25">
      <c r="A318" t="b">
        <v>0</v>
      </c>
      <c r="B318" t="s">
        <v>2</v>
      </c>
    </row>
    <row r="319" spans="1:2" x14ac:dyDescent="0.25">
      <c r="A319" s="15" t="s">
        <v>77</v>
      </c>
      <c r="B319" t="s">
        <v>3</v>
      </c>
    </row>
    <row r="321" spans="1:2" x14ac:dyDescent="0.25">
      <c r="A321" t="s">
        <v>0</v>
      </c>
      <c r="B321" t="s">
        <v>1</v>
      </c>
    </row>
    <row r="322" spans="1:2" x14ac:dyDescent="0.25">
      <c r="A322" t="b">
        <v>1</v>
      </c>
      <c r="B322" t="s">
        <v>2</v>
      </c>
    </row>
    <row r="323" spans="1:2" x14ac:dyDescent="0.25">
      <c r="A323" t="b">
        <v>1</v>
      </c>
      <c r="B323" t="s">
        <v>3</v>
      </c>
    </row>
    <row r="325" spans="1:2" x14ac:dyDescent="0.25">
      <c r="A325" t="s">
        <v>0</v>
      </c>
      <c r="B325" t="s">
        <v>1</v>
      </c>
    </row>
    <row r="326" spans="1:2" x14ac:dyDescent="0.25">
      <c r="A326" s="1" t="b">
        <v>1</v>
      </c>
      <c r="B326" t="s">
        <v>2</v>
      </c>
    </row>
    <row r="327" spans="1:2" x14ac:dyDescent="0.25">
      <c r="A327" t="b">
        <v>1</v>
      </c>
      <c r="B327" t="s">
        <v>3</v>
      </c>
    </row>
    <row r="329" spans="1:2" x14ac:dyDescent="0.25">
      <c r="A329" t="s">
        <v>0</v>
      </c>
      <c r="B329" t="s">
        <v>1</v>
      </c>
    </row>
    <row r="330" spans="1:2" x14ac:dyDescent="0.25">
      <c r="A330" t="e">
        <v>#N/A</v>
      </c>
      <c r="B330" t="s">
        <v>2</v>
      </c>
    </row>
    <row r="331" spans="1:2" x14ac:dyDescent="0.25">
      <c r="A331" s="15" t="s">
        <v>78</v>
      </c>
      <c r="B331" t="s">
        <v>3</v>
      </c>
    </row>
    <row r="333" spans="1:2" x14ac:dyDescent="0.25">
      <c r="A333" t="s">
        <v>0</v>
      </c>
      <c r="B333" t="s">
        <v>1</v>
      </c>
    </row>
    <row r="334" spans="1:2" x14ac:dyDescent="0.25">
      <c r="A334" t="e">
        <v>#N/A</v>
      </c>
      <c r="B334" t="s">
        <v>2</v>
      </c>
    </row>
    <row r="335" spans="1:2" x14ac:dyDescent="0.25">
      <c r="A335" t="e">
        <f>NA()</f>
        <v>#N/A</v>
      </c>
      <c r="B335" t="s">
        <v>3</v>
      </c>
    </row>
    <row r="337" spans="1:2" x14ac:dyDescent="0.25">
      <c r="A337" t="s">
        <v>0</v>
      </c>
      <c r="B337" t="s">
        <v>1</v>
      </c>
    </row>
    <row r="338" spans="1:2" x14ac:dyDescent="0.25">
      <c r="A338" t="e">
        <v>#N/A</v>
      </c>
      <c r="B338" t="s">
        <v>2</v>
      </c>
    </row>
    <row r="339" spans="1:2" x14ac:dyDescent="0.25">
      <c r="A339" t="e">
        <v>#DIV/0!</v>
      </c>
      <c r="B339" t="s">
        <v>3</v>
      </c>
    </row>
    <row r="341" spans="1:2" x14ac:dyDescent="0.25">
      <c r="A341" t="s">
        <v>0</v>
      </c>
      <c r="B341" t="s">
        <v>1</v>
      </c>
    </row>
    <row r="342" spans="1:2" x14ac:dyDescent="0.25">
      <c r="A342" t="e">
        <f>1/0</f>
        <v>#DIV/0!</v>
      </c>
      <c r="B342" t="s">
        <v>2</v>
      </c>
    </row>
    <row r="343" spans="1:2" x14ac:dyDescent="0.25">
      <c r="A343" t="e">
        <v>#DIV/0!</v>
      </c>
      <c r="B343" t="s">
        <v>3</v>
      </c>
    </row>
    <row r="345" spans="1:2" x14ac:dyDescent="0.25">
      <c r="A345" t="s">
        <v>0</v>
      </c>
      <c r="B345" t="s">
        <v>1</v>
      </c>
    </row>
    <row r="346" spans="1:2" x14ac:dyDescent="0.25">
      <c r="B346" t="s">
        <v>2</v>
      </c>
    </row>
    <row r="347" spans="1:2" x14ac:dyDescent="0.25">
      <c r="B347" t="s">
        <v>3</v>
      </c>
    </row>
    <row r="349" spans="1:2" x14ac:dyDescent="0.25">
      <c r="A349" t="s">
        <v>0</v>
      </c>
      <c r="B349" t="s">
        <v>1</v>
      </c>
    </row>
    <row r="350" spans="1:2" x14ac:dyDescent="0.25">
      <c r="B350" t="s">
        <v>2</v>
      </c>
    </row>
    <row r="351" spans="1:2" x14ac:dyDescent="0.25">
      <c r="A351" t="str">
        <f>""</f>
        <v/>
      </c>
      <c r="B351" t="s">
        <v>3</v>
      </c>
    </row>
    <row r="353" spans="1:2" x14ac:dyDescent="0.25">
      <c r="A353" t="s">
        <v>0</v>
      </c>
      <c r="B353" t="s">
        <v>1</v>
      </c>
    </row>
    <row r="354" spans="1:2" x14ac:dyDescent="0.25">
      <c r="A354" t="str">
        <f>""</f>
        <v/>
      </c>
      <c r="B354" t="s">
        <v>2</v>
      </c>
    </row>
    <row r="355" spans="1:2" x14ac:dyDescent="0.25">
      <c r="A355" t="str">
        <f>""</f>
        <v/>
      </c>
      <c r="B355" t="s">
        <v>3</v>
      </c>
    </row>
    <row r="357" spans="1:2" x14ac:dyDescent="0.25">
      <c r="A357" t="s">
        <v>0</v>
      </c>
      <c r="B357" t="s">
        <v>1</v>
      </c>
    </row>
    <row r="358" spans="1:2" x14ac:dyDescent="0.25">
      <c r="B358" t="s">
        <v>2</v>
      </c>
    </row>
    <row r="359" spans="1:2" x14ac:dyDescent="0.25">
      <c r="A359" s="15" t="s">
        <v>79</v>
      </c>
      <c r="B359" t="s">
        <v>3</v>
      </c>
    </row>
    <row r="361" spans="1:2" x14ac:dyDescent="0.25">
      <c r="A361" t="s">
        <v>0</v>
      </c>
      <c r="B361" t="s">
        <v>1</v>
      </c>
    </row>
    <row r="362" spans="1:2" x14ac:dyDescent="0.25">
      <c r="B362" t="s">
        <v>2</v>
      </c>
    </row>
    <row r="363" spans="1:2" x14ac:dyDescent="0.25">
      <c r="A363">
        <v>0</v>
      </c>
      <c r="B363" t="s">
        <v>3</v>
      </c>
    </row>
    <row r="365" spans="1:2" x14ac:dyDescent="0.25">
      <c r="A365" t="s">
        <v>0</v>
      </c>
      <c r="B365" t="s">
        <v>1</v>
      </c>
    </row>
    <row r="366" spans="1:2" x14ac:dyDescent="0.25">
      <c r="B366" t="s">
        <v>2</v>
      </c>
    </row>
    <row r="367" spans="1:2" x14ac:dyDescent="0.25">
      <c r="A367" s="15" t="s">
        <v>80</v>
      </c>
      <c r="B36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D09C-5124-4E33-948F-CA94AEBBB957}">
  <dimension ref="A1:E11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85</v>
      </c>
      <c r="E1" t="s">
        <v>92</v>
      </c>
    </row>
    <row r="2" spans="1:5" x14ac:dyDescent="0.25">
      <c r="A2" t="s">
        <v>9</v>
      </c>
      <c r="B2">
        <v>1</v>
      </c>
      <c r="C2" t="s">
        <v>86</v>
      </c>
      <c r="E2" t="s">
        <v>93</v>
      </c>
    </row>
    <row r="3" spans="1:5" x14ac:dyDescent="0.25">
      <c r="A3" t="s">
        <v>9</v>
      </c>
      <c r="B3">
        <v>2</v>
      </c>
      <c r="C3" t="s">
        <v>87</v>
      </c>
      <c r="E3" t="s">
        <v>94</v>
      </c>
    </row>
    <row r="4" spans="1:5" x14ac:dyDescent="0.25">
      <c r="A4" t="s">
        <v>82</v>
      </c>
      <c r="B4">
        <v>1</v>
      </c>
      <c r="C4" t="s">
        <v>88</v>
      </c>
      <c r="E4" t="s">
        <v>95</v>
      </c>
    </row>
    <row r="5" spans="1:5" x14ac:dyDescent="0.25">
      <c r="A5" t="s">
        <v>9</v>
      </c>
      <c r="B5">
        <v>1</v>
      </c>
      <c r="C5" t="s">
        <v>89</v>
      </c>
      <c r="E5" t="s">
        <v>96</v>
      </c>
    </row>
    <row r="6" spans="1:5" x14ac:dyDescent="0.25">
      <c r="A6" t="s">
        <v>82</v>
      </c>
      <c r="B6">
        <v>1</v>
      </c>
      <c r="C6" t="s">
        <v>90</v>
      </c>
      <c r="E6" t="s">
        <v>97</v>
      </c>
    </row>
    <row r="7" spans="1:5" x14ac:dyDescent="0.25">
      <c r="A7" t="s">
        <v>83</v>
      </c>
      <c r="B7">
        <v>3</v>
      </c>
      <c r="C7" t="s">
        <v>91</v>
      </c>
      <c r="E7" t="s">
        <v>98</v>
      </c>
    </row>
    <row r="10" spans="1:5" x14ac:dyDescent="0.25">
      <c r="A10" t="str">
        <f>A5&amp;B5&amp;C5</f>
        <v>x1c4</v>
      </c>
      <c r="E10">
        <f>COUNTA(A2:A7)</f>
        <v>6</v>
      </c>
    </row>
    <row r="11" spans="1:5" x14ac:dyDescent="0.25">
      <c r="A11">
        <f>SUM(B2:B7)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10DF-88BC-4E08-8C2C-5BFC14440F3C}">
  <dimension ref="A1:C12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100</v>
      </c>
      <c r="C1" t="s">
        <v>101</v>
      </c>
    </row>
    <row r="2" spans="1:3" ht="14.1" customHeight="1" x14ac:dyDescent="0.25">
      <c r="A2" t="s">
        <v>7</v>
      </c>
      <c r="B2" t="str">
        <f>ROW()&amp;A2</f>
        <v>2a</v>
      </c>
      <c r="C2" s="18">
        <v>20</v>
      </c>
    </row>
    <row r="3" spans="1:3" ht="15" customHeight="1" x14ac:dyDescent="0.25">
      <c r="A3" t="s">
        <v>7</v>
      </c>
      <c r="B3" t="str">
        <f>ROW()&amp;A3</f>
        <v>3a</v>
      </c>
      <c r="C3" s="19">
        <v>30</v>
      </c>
    </row>
    <row r="4" spans="1:3" ht="15.95" customHeight="1" x14ac:dyDescent="0.25">
      <c r="A4" t="s">
        <v>99</v>
      </c>
      <c r="B4" t="str">
        <f>ROW()&amp;A4</f>
        <v>4b</v>
      </c>
      <c r="C4" s="20">
        <v>40</v>
      </c>
    </row>
    <row r="5" spans="1:3" ht="17.100000000000001" customHeight="1" x14ac:dyDescent="0.25">
      <c r="A5" t="s">
        <v>7</v>
      </c>
      <c r="B5" t="str">
        <f>ROW()&amp;A5</f>
        <v>5a</v>
      </c>
      <c r="C5" s="21">
        <v>50</v>
      </c>
    </row>
    <row r="6" spans="1:3" ht="18" customHeight="1" x14ac:dyDescent="0.25">
      <c r="A6" s="25" t="s">
        <v>85</v>
      </c>
      <c r="B6" t="str">
        <f>ROW()&amp;A6</f>
        <v>6c</v>
      </c>
      <c r="C6" s="22">
        <v>60</v>
      </c>
    </row>
    <row r="7" spans="1:3" ht="18.95" customHeight="1" x14ac:dyDescent="0.25">
      <c r="A7" s="25" t="s">
        <v>99</v>
      </c>
      <c r="B7" t="str">
        <f>ROW()&amp;A7</f>
        <v>7b</v>
      </c>
      <c r="C7" s="23">
        <v>70</v>
      </c>
    </row>
    <row r="8" spans="1:3" ht="20.100000000000001" customHeight="1" x14ac:dyDescent="0.25">
      <c r="A8" t="s">
        <v>72</v>
      </c>
      <c r="B8" t="str">
        <f>ROW()&amp;A8</f>
        <v>8d</v>
      </c>
      <c r="C8" s="24">
        <v>80</v>
      </c>
    </row>
    <row r="12" spans="1:3" x14ac:dyDescent="0.25">
      <c r="A12">
        <f>C3</f>
        <v>30</v>
      </c>
    </row>
  </sheetData>
  <conditionalFormatting sqref="A5">
    <cfRule type="cellIs" priority="1" stopIfTrue="1" operator="equal">
      <formula>"a"</formula>
    </cfRule>
  </conditionalFormatting>
  <conditionalFormatting sqref="A7">
    <cfRule type="cellIs" priority="2" stopIfTrue="1" operator="equal">
      <formula>"b"</formula>
    </cfRule>
  </conditionalFormatting>
  <dataValidations count="1">
    <dataValidation type="whole" allowBlank="1" showInputMessage="1" showErrorMessage="1" sqref="C3 C8" xr:uid="{A8FF5C0C-8A2F-4118-ABBF-5F76A763F4FF}">
      <formula1>1</formula1>
      <formula2>9</formula2>
    </dataValidation>
  </dataValidations>
  <hyperlinks>
    <hyperlink ref="A6" r:id="rId1" display="https://example.com/kept" xr:uid="{C528E9BB-1E7C-48BD-B63F-F586D9D6D461}"/>
    <hyperlink ref="A7" r:id="rId2" display="https://example.com/removed" xr:uid="{2C491351-2DB0-4BCB-9A19-433D34333124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EE2F-93CE-47B4-A25E-CA3E429A52E8}">
  <dimension ref="A1:C7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  <c r="C1" t="s">
        <v>1</v>
      </c>
    </row>
    <row r="2" spans="1:3" x14ac:dyDescent="0.25">
      <c r="A2" t="s">
        <v>7</v>
      </c>
      <c r="B2">
        <v>1</v>
      </c>
      <c r="C2" t="s">
        <v>102</v>
      </c>
    </row>
    <row r="3" spans="1:3" x14ac:dyDescent="0.25">
      <c r="A3" t="s">
        <v>99</v>
      </c>
      <c r="B3">
        <v>2</v>
      </c>
      <c r="C3" t="s">
        <v>103</v>
      </c>
    </row>
    <row r="4" spans="1:3" x14ac:dyDescent="0.25">
      <c r="A4" t="s">
        <v>7</v>
      </c>
      <c r="B4">
        <v>3</v>
      </c>
      <c r="C4" t="s">
        <v>104</v>
      </c>
    </row>
    <row r="5" spans="1:3" x14ac:dyDescent="0.25">
      <c r="A5" t="s">
        <v>85</v>
      </c>
      <c r="B5">
        <v>4</v>
      </c>
      <c r="C5" t="s">
        <v>105</v>
      </c>
    </row>
    <row r="6" spans="1:3" x14ac:dyDescent="0.25">
      <c r="A6" t="s">
        <v>99</v>
      </c>
      <c r="B6">
        <v>5</v>
      </c>
      <c r="C6" t="s">
        <v>106</v>
      </c>
    </row>
    <row r="7" spans="1:3" x14ac:dyDescent="0.25">
      <c r="A7" t="s">
        <v>72</v>
      </c>
      <c r="B7">
        <v>6</v>
      </c>
      <c r="C7" t="s">
        <v>107</v>
      </c>
    </row>
  </sheetData>
  <conditionalFormatting sqref="A4:A7">
    <cfRule type="cellIs" priority="1" stopIfTrue="1" operator="equal">
      <formula>"a"</formula>
    </cfRule>
  </conditionalFormatting>
  <conditionalFormatting sqref="A2:E7">
    <cfRule type="cellIs" priority="2" stopIfTrue="1" operator="greaterThan">
      <formula>100</formula>
    </cfRule>
  </conditionalFormatting>
  <dataValidations count="3">
    <dataValidation type="whole" allowBlank="1" showInputMessage="1" showErrorMessage="1" sqref="C2:D7" xr:uid="{8EA28272-63DB-45E2-9718-DAC06FFE2301}">
      <formula1>0</formula1>
      <formula2>9</formula2>
    </dataValidation>
    <dataValidation type="decimal" allowBlank="1" showInputMessage="1" showErrorMessage="1" sqref="B5:B7" xr:uid="{8718DFA5-7D29-4504-9334-914E6A79DB30}">
      <formula1>0</formula1>
      <formula2>9</formula2>
    </dataValidation>
    <dataValidation type="list" allowBlank="1" showInputMessage="1" showErrorMessage="1" sqref="A7 A9" xr:uid="{932DD029-01F5-40DB-9C91-F2636BF8FBE2}">
      <formula1>"x,y"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3899-1521-45E5-8682-380ED7BBE9A1}">
  <dimension ref="A1:B5"/>
  <sheetViews>
    <sheetView workbookViewId="0"/>
  </sheetViews>
  <sheetFormatPr defaultRowHeight="15" x14ac:dyDescent="0.25"/>
  <sheetData>
    <row r="1" spans="1:2" x14ac:dyDescent="0.25">
      <c r="A1" t="s">
        <v>7</v>
      </c>
      <c r="B1">
        <v>1</v>
      </c>
    </row>
    <row r="2" spans="1:2" x14ac:dyDescent="0.25">
      <c r="A2" t="s">
        <v>99</v>
      </c>
      <c r="B2">
        <v>2</v>
      </c>
    </row>
    <row r="3" spans="1:2" x14ac:dyDescent="0.25">
      <c r="A3" t="s">
        <v>7</v>
      </c>
      <c r="B3">
        <v>3</v>
      </c>
    </row>
    <row r="4" spans="1:2" x14ac:dyDescent="0.25">
      <c r="A4" t="s">
        <v>85</v>
      </c>
      <c r="B4">
        <v>4</v>
      </c>
    </row>
    <row r="5" spans="1:2" x14ac:dyDescent="0.25">
      <c r="A5" t="s">
        <v>99</v>
      </c>
      <c r="B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59A4-CF3B-459C-9399-6096068A9534}">
  <dimension ref="A1:B7"/>
  <sheetViews>
    <sheetView workbookViewId="0"/>
  </sheetViews>
  <sheetFormatPr defaultRowHeight="15" x14ac:dyDescent="0.25"/>
  <sheetData>
    <row r="1" spans="1:2" x14ac:dyDescent="0.25">
      <c r="A1" t="s">
        <v>81</v>
      </c>
      <c r="B1" t="s">
        <v>84</v>
      </c>
    </row>
    <row r="2" spans="1:2" x14ac:dyDescent="0.25">
      <c r="A2" t="s">
        <v>7</v>
      </c>
      <c r="B2">
        <v>1</v>
      </c>
    </row>
    <row r="3" spans="1:2" hidden="1" x14ac:dyDescent="0.25">
      <c r="A3" t="s">
        <v>99</v>
      </c>
      <c r="B3">
        <v>2</v>
      </c>
    </row>
    <row r="4" spans="1:2" x14ac:dyDescent="0.25">
      <c r="A4" t="s">
        <v>7</v>
      </c>
      <c r="B4">
        <v>3</v>
      </c>
    </row>
    <row r="5" spans="1:2" hidden="1" x14ac:dyDescent="0.25">
      <c r="A5" t="s">
        <v>85</v>
      </c>
      <c r="B5">
        <v>4</v>
      </c>
    </row>
    <row r="6" spans="1:2" x14ac:dyDescent="0.25">
      <c r="A6" t="s">
        <v>99</v>
      </c>
      <c r="B6">
        <v>5</v>
      </c>
    </row>
    <row r="7" spans="1:2" x14ac:dyDescent="0.25">
      <c r="A7" t="s">
        <v>7</v>
      </c>
      <c r="B7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2BC1-3DC4-41C3-B075-ED87C2A966E3}">
  <dimension ref="A1:C4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</row>
    <row r="3" spans="1:3" x14ac:dyDescent="0.25">
      <c r="A3" t="s">
        <v>7</v>
      </c>
      <c r="B3" s="26">
        <v>2</v>
      </c>
      <c r="C3" s="26"/>
    </row>
    <row r="4" spans="1:3" x14ac:dyDescent="0.25">
      <c r="A4" t="s">
        <v>99</v>
      </c>
      <c r="B4">
        <v>3</v>
      </c>
    </row>
  </sheetData>
  <mergeCells count="1">
    <mergeCell ref="B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BBBB-8D04-4337-A252-B41AA6A21285}">
  <dimension ref="A1:C4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  <c r="C2">
        <f t="array" ref="C2:C3">B2:B3*2</f>
        <v>2</v>
      </c>
    </row>
    <row r="3" spans="1:3" x14ac:dyDescent="0.25">
      <c r="A3" t="s">
        <v>7</v>
      </c>
      <c r="B3">
        <v>2</v>
      </c>
      <c r="C3">
        <v>4</v>
      </c>
    </row>
    <row r="4" spans="1:3" x14ac:dyDescent="0.25">
      <c r="A4" t="s">
        <v>99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5E5B-5970-41E4-BD21-3B1314F87190}">
  <dimension ref="A1:C5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  <c r="C2">
        <f t="array" ref="C2">SUM(B2:B5*1)</f>
        <v>10</v>
      </c>
    </row>
    <row r="3" spans="1:3" x14ac:dyDescent="0.25">
      <c r="A3" t="s">
        <v>7</v>
      </c>
      <c r="B3">
        <v>2</v>
      </c>
    </row>
    <row r="4" spans="1:3" x14ac:dyDescent="0.25">
      <c r="A4" t="s">
        <v>99</v>
      </c>
      <c r="B4">
        <v>3</v>
      </c>
    </row>
    <row r="5" spans="1:3" x14ac:dyDescent="0.25">
      <c r="A5" t="s">
        <v>85</v>
      </c>
      <c r="B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7977-A79E-4620-BCDB-060B036925B1}">
  <dimension ref="A1:C5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</row>
    <row r="3" spans="1:3" x14ac:dyDescent="0.25">
      <c r="A3" t="s">
        <v>7</v>
      </c>
      <c r="B3">
        <v>2</v>
      </c>
      <c r="C3">
        <f t="array" ref="C3">SUM(B2:B5*1)</f>
        <v>10</v>
      </c>
    </row>
    <row r="4" spans="1:3" x14ac:dyDescent="0.25">
      <c r="A4" t="s">
        <v>99</v>
      </c>
      <c r="B4">
        <v>3</v>
      </c>
    </row>
    <row r="5" spans="1:3" x14ac:dyDescent="0.25">
      <c r="A5" t="s">
        <v>85</v>
      </c>
      <c r="B5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747A-FC69-4C6F-9261-24AA458C57F8}">
  <dimension ref="A1:C5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</row>
    <row r="3" spans="1:3" x14ac:dyDescent="0.25">
      <c r="A3" t="s">
        <v>7</v>
      </c>
      <c r="B3">
        <v>2</v>
      </c>
    </row>
    <row r="4" spans="1:3" x14ac:dyDescent="0.25">
      <c r="A4" t="s">
        <v>99</v>
      </c>
      <c r="B4">
        <v>3</v>
      </c>
      <c r="C4">
        <f t="array" ref="C4">SUM(B2:B5*1)</f>
        <v>10</v>
      </c>
    </row>
    <row r="5" spans="1:3" x14ac:dyDescent="0.25">
      <c r="A5" t="s">
        <v>85</v>
      </c>
      <c r="B5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BBAB-2937-4BA7-A2F3-1927558BFAAC}">
  <dimension ref="A1:C5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</row>
    <row r="3" spans="1:3" x14ac:dyDescent="0.25">
      <c r="A3" t="s">
        <v>7</v>
      </c>
      <c r="B3">
        <v>2</v>
      </c>
    </row>
    <row r="4" spans="1:3" x14ac:dyDescent="0.25">
      <c r="A4" t="s">
        <v>99</v>
      </c>
      <c r="B4">
        <v>3</v>
      </c>
    </row>
    <row r="5" spans="1:3" x14ac:dyDescent="0.25">
      <c r="A5" t="s">
        <v>85</v>
      </c>
      <c r="B5">
        <v>4</v>
      </c>
      <c r="C5">
        <f>SUM(B2:B5)</f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3698-971C-4F0E-ADEA-AC5171E76E39}">
  <dimension ref="A1:C5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</row>
    <row r="3" spans="1:3" x14ac:dyDescent="0.25">
      <c r="A3" t="s">
        <v>7</v>
      </c>
      <c r="B3">
        <v>2</v>
      </c>
    </row>
    <row r="4" spans="1:3" x14ac:dyDescent="0.25">
      <c r="A4" t="s">
        <v>99</v>
      </c>
      <c r="B4">
        <v>3</v>
      </c>
    </row>
    <row r="5" spans="1:3" x14ac:dyDescent="0.25">
      <c r="A5" t="s">
        <v>85</v>
      </c>
      <c r="B5">
        <v>4</v>
      </c>
      <c r="C5">
        <f>SUM(D1:D2)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E7E6-D131-439A-840A-0252C96CA25B}">
  <dimension ref="A1:C5"/>
  <sheetViews>
    <sheetView workbookViewId="0"/>
  </sheetViews>
  <sheetFormatPr defaultRowHeight="15" x14ac:dyDescent="0.25"/>
  <sheetData>
    <row r="1" spans="1:3" x14ac:dyDescent="0.25">
      <c r="A1" t="s">
        <v>81</v>
      </c>
      <c r="B1" t="s">
        <v>84</v>
      </c>
    </row>
    <row r="2" spans="1:3" x14ac:dyDescent="0.25">
      <c r="A2" t="s">
        <v>7</v>
      </c>
      <c r="B2">
        <v>1</v>
      </c>
    </row>
    <row r="3" spans="1:3" x14ac:dyDescent="0.25">
      <c r="A3" t="s">
        <v>7</v>
      </c>
      <c r="B3">
        <v>2</v>
      </c>
    </row>
    <row r="4" spans="1:3" x14ac:dyDescent="0.25">
      <c r="A4" t="s">
        <v>99</v>
      </c>
      <c r="B4">
        <v>3</v>
      </c>
    </row>
    <row r="5" spans="1:3" x14ac:dyDescent="0.25">
      <c r="A5" t="s">
        <v>85</v>
      </c>
      <c r="B5">
        <v>4</v>
      </c>
      <c r="C5">
        <f>B5*2</f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4A65-2046-4999-B803-962E1D93ADCB}">
  <dimension ref="A1:B11"/>
  <sheetViews>
    <sheetView workbookViewId="0"/>
  </sheetViews>
  <sheetFormatPr defaultRowHeight="15" x14ac:dyDescent="0.25"/>
  <sheetData>
    <row r="1" spans="1:2" x14ac:dyDescent="0.25">
      <c r="A1" t="s">
        <v>81</v>
      </c>
      <c r="B1" t="s">
        <v>84</v>
      </c>
    </row>
    <row r="2" spans="1:2" x14ac:dyDescent="0.25">
      <c r="A2" t="s">
        <v>7</v>
      </c>
      <c r="B2">
        <v>1</v>
      </c>
    </row>
    <row r="3" spans="1:2" x14ac:dyDescent="0.25">
      <c r="A3" t="s">
        <v>99</v>
      </c>
      <c r="B3">
        <v>2</v>
      </c>
    </row>
    <row r="4" spans="1:2" x14ac:dyDescent="0.25">
      <c r="A4" t="s">
        <v>7</v>
      </c>
      <c r="B4">
        <v>3</v>
      </c>
    </row>
    <row r="5" spans="1:2" x14ac:dyDescent="0.25">
      <c r="A5" t="s">
        <v>85</v>
      </c>
      <c r="B5">
        <v>4</v>
      </c>
    </row>
    <row r="6" spans="1:2" x14ac:dyDescent="0.25">
      <c r="A6" t="s">
        <v>99</v>
      </c>
      <c r="B6">
        <v>5</v>
      </c>
    </row>
    <row r="11" spans="1:2" x14ac:dyDescent="0.25">
      <c r="A11" s="27"/>
    </row>
  </sheetData>
  <dataValidations count="1">
    <dataValidation type="whole" allowBlank="1" showInputMessage="1" showErrorMessage="1" sqref="B2:B12" xr:uid="{64748F43-FDB9-491F-91A2-4676E666CB96}">
      <formula1>0</formula1>
      <formula2>9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0603-161C-4FB4-A450-83435F30D592}">
  <dimension ref="A1:H13"/>
  <sheetViews>
    <sheetView workbookViewId="0"/>
  </sheetViews>
  <sheetFormatPr defaultRowHeight="15" x14ac:dyDescent="0.25"/>
  <sheetData>
    <row r="1" spans="1:8" x14ac:dyDescent="0.25">
      <c r="A1" t="s">
        <v>81</v>
      </c>
      <c r="B1" t="s">
        <v>84</v>
      </c>
      <c r="C1" t="s">
        <v>1</v>
      </c>
      <c r="E1" t="s">
        <v>92</v>
      </c>
      <c r="H1" s="1">
        <f>B7</f>
        <v>6</v>
      </c>
    </row>
    <row r="2" spans="1:8" x14ac:dyDescent="0.25">
      <c r="A2" t="s">
        <v>7</v>
      </c>
      <c r="B2">
        <v>1</v>
      </c>
      <c r="C2" t="s">
        <v>102</v>
      </c>
      <c r="E2" t="s">
        <v>93</v>
      </c>
      <c r="H2">
        <f>SUM(B2:B8)</f>
        <v>28</v>
      </c>
    </row>
    <row r="3" spans="1:8" x14ac:dyDescent="0.25">
      <c r="A3" s="28" t="s">
        <v>7</v>
      </c>
      <c r="B3">
        <v>2</v>
      </c>
      <c r="C3" t="s">
        <v>103</v>
      </c>
      <c r="E3" t="s">
        <v>94</v>
      </c>
      <c r="H3">
        <f>SUM(B3:B8)</f>
        <v>27</v>
      </c>
    </row>
    <row r="4" spans="1:8" x14ac:dyDescent="0.25">
      <c r="A4" t="s">
        <v>99</v>
      </c>
      <c r="B4">
        <v>3</v>
      </c>
      <c r="C4" t="s">
        <v>104</v>
      </c>
      <c r="E4" t="s">
        <v>95</v>
      </c>
      <c r="H4">
        <f>SUM(A2:B8)</f>
        <v>28</v>
      </c>
    </row>
    <row r="5" spans="1:8" x14ac:dyDescent="0.25">
      <c r="A5" s="25" t="s">
        <v>7</v>
      </c>
      <c r="B5">
        <v>4</v>
      </c>
      <c r="C5" t="s">
        <v>105</v>
      </c>
      <c r="E5" t="s">
        <v>96</v>
      </c>
      <c r="H5">
        <f>SUM(A1:C8)</f>
        <v>98</v>
      </c>
    </row>
    <row r="6" spans="1:8" x14ac:dyDescent="0.25">
      <c r="A6" s="25" t="s">
        <v>85</v>
      </c>
      <c r="B6">
        <v>5</v>
      </c>
      <c r="C6" t="s">
        <v>106</v>
      </c>
      <c r="E6" t="s">
        <v>97</v>
      </c>
      <c r="H6">
        <f>SUM(B1:B8)</f>
        <v>28</v>
      </c>
    </row>
    <row r="7" spans="1:8" x14ac:dyDescent="0.25">
      <c r="A7" t="s">
        <v>99</v>
      </c>
      <c r="B7" s="1">
        <v>6</v>
      </c>
      <c r="C7" t="s">
        <v>107</v>
      </c>
      <c r="E7" t="s">
        <v>98</v>
      </c>
      <c r="H7">
        <f>SUM(B$2:B$8)</f>
        <v>28</v>
      </c>
    </row>
    <row r="8" spans="1:8" x14ac:dyDescent="0.25">
      <c r="A8" s="27" t="s">
        <v>72</v>
      </c>
      <c r="B8" s="30">
        <v>7</v>
      </c>
      <c r="C8">
        <f>B8*10</f>
        <v>70</v>
      </c>
      <c r="E8" t="s">
        <v>109</v>
      </c>
      <c r="H8">
        <f>SUM(A2:E8)</f>
        <v>98</v>
      </c>
    </row>
    <row r="9" spans="1:8" x14ac:dyDescent="0.25">
      <c r="H9">
        <f>SUM(B6:B8)</f>
        <v>18</v>
      </c>
    </row>
    <row r="10" spans="1:8" x14ac:dyDescent="0.25">
      <c r="A10" s="29"/>
      <c r="H10">
        <f>SUM(B4:B10)</f>
        <v>25</v>
      </c>
    </row>
    <row r="11" spans="1:8" x14ac:dyDescent="0.25">
      <c r="H11">
        <f>SUM(A8:E8)</f>
        <v>77</v>
      </c>
    </row>
    <row r="12" spans="1:8" x14ac:dyDescent="0.25">
      <c r="A12" t="s">
        <v>110</v>
      </c>
      <c r="B12">
        <f>SUM(B2:B8)</f>
        <v>28</v>
      </c>
      <c r="C12">
        <f>SUM(TTable[n])</f>
        <v>28</v>
      </c>
      <c r="D12">
        <f>B5</f>
        <v>4</v>
      </c>
      <c r="H12" s="30">
        <f>SUM(B8:B9)</f>
        <v>7</v>
      </c>
    </row>
    <row r="13" spans="1:8" x14ac:dyDescent="0.25">
      <c r="H13">
        <f>$B$5</f>
        <v>4</v>
      </c>
    </row>
  </sheetData>
  <conditionalFormatting sqref="B4:B8">
    <cfRule type="cellIs" priority="1" stopIfTrue="1" operator="greaterThan">
      <formula>3</formula>
    </cfRule>
  </conditionalFormatting>
  <conditionalFormatting sqref="B2:B6">
    <cfRule type="cellIs" priority="2" stopIfTrue="1" operator="greaterThan">
      <formula>4</formula>
    </cfRule>
  </conditionalFormatting>
  <conditionalFormatting sqref="A6:A8">
    <cfRule type="cellIs" priority="3" stopIfTrue="1" operator="equal">
      <formula>"a"</formula>
    </cfRule>
  </conditionalFormatting>
  <conditionalFormatting sqref="C2:C8">
    <cfRule type="expression" priority="4" stopIfTrue="1">
      <formula>$B2&gt;3</formula>
    </cfRule>
  </conditionalFormatting>
  <conditionalFormatting sqref="A2:E8">
    <cfRule type="cellIs" priority="5" stopIfTrue="1" operator="greaterThan">
      <formula>100</formula>
    </cfRule>
  </conditionalFormatting>
  <conditionalFormatting sqref="A8:E8">
    <cfRule type="cellIs" priority="6" stopIfTrue="1" operator="greaterThan">
      <formula>200</formula>
    </cfRule>
  </conditionalFormatting>
  <dataValidations count="3">
    <dataValidation type="whole" allowBlank="1" showInputMessage="1" showErrorMessage="1" sqref="B2:B8" xr:uid="{4B239EFB-31C7-4210-B6A0-DD8631E4F11A}">
      <formula1>0</formula1>
      <formula2>9</formula2>
    </dataValidation>
    <dataValidation type="textLength" operator="lessThanOrEqual" allowBlank="1" showInputMessage="1" showErrorMessage="1" sqref="C4:C8" xr:uid="{5628B697-240C-4651-A2F6-ED54C17D79B3}">
      <formula1>9</formula1>
    </dataValidation>
    <dataValidation type="list" allowBlank="1" showInputMessage="1" showErrorMessage="1" sqref="E2:E8" xr:uid="{690A7C5A-4197-42BB-9B0B-FD21DC9265ED}">
      <formula1>$A$2:$A$8</formula1>
    </dataValidation>
  </dataValidations>
  <hyperlinks>
    <hyperlink ref="A5" r:id="rId1" display="https://example.com/removed" xr:uid="{728A12B8-804B-49A7-99EC-4B3F843DE37F}"/>
    <hyperlink ref="A6" r:id="rId2" display="https://example.com/moves" xr:uid="{863D03DF-20CD-4E95-BD65-83C8C4A7CFB4}"/>
  </hyperlinks>
  <pageMargins left="0.7" right="0.7" top="0.75" bottom="0.75" header="0.3" footer="0.3"/>
  <drawing r:id="rId3"/>
  <legacyDrawing r:id="rId4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2F49-8527-4AFA-9D06-08A3D187F5EA}">
  <dimension ref="A1:H22"/>
  <sheetViews>
    <sheetView workbookViewId="0"/>
  </sheetViews>
  <sheetFormatPr defaultRowHeight="15" x14ac:dyDescent="0.25"/>
  <sheetData>
    <row r="1" spans="1:8" x14ac:dyDescent="0.25">
      <c r="A1" t="s">
        <v>81</v>
      </c>
      <c r="B1" t="s">
        <v>84</v>
      </c>
      <c r="C1" t="s">
        <v>1</v>
      </c>
      <c r="E1" t="s">
        <v>92</v>
      </c>
      <c r="H1">
        <f>B6</f>
        <v>5</v>
      </c>
    </row>
    <row r="2" spans="1:8" x14ac:dyDescent="0.25">
      <c r="A2" t="s">
        <v>7</v>
      </c>
      <c r="B2">
        <v>1</v>
      </c>
      <c r="C2" t="s">
        <v>102</v>
      </c>
      <c r="E2" t="s">
        <v>93</v>
      </c>
      <c r="H2" s="1">
        <f>B7</f>
        <v>6</v>
      </c>
    </row>
    <row r="3" spans="1:8" x14ac:dyDescent="0.25">
      <c r="A3" s="28" t="s">
        <v>7</v>
      </c>
      <c r="B3">
        <v>2</v>
      </c>
      <c r="C3" t="s">
        <v>103</v>
      </c>
      <c r="E3" t="s">
        <v>94</v>
      </c>
      <c r="H3" s="30">
        <f>B8</f>
        <v>7</v>
      </c>
    </row>
    <row r="4" spans="1:8" x14ac:dyDescent="0.25">
      <c r="A4" t="s">
        <v>99</v>
      </c>
      <c r="B4">
        <v>3</v>
      </c>
      <c r="C4" t="s">
        <v>104</v>
      </c>
      <c r="E4" t="s">
        <v>95</v>
      </c>
      <c r="H4" s="5">
        <f>B9</f>
        <v>28</v>
      </c>
    </row>
    <row r="5" spans="1:8" x14ac:dyDescent="0.25">
      <c r="A5" s="25" t="s">
        <v>7</v>
      </c>
      <c r="B5">
        <v>4</v>
      </c>
      <c r="C5" t="s">
        <v>105</v>
      </c>
      <c r="E5" t="s">
        <v>96</v>
      </c>
      <c r="H5">
        <f>SUM(B2:B8)</f>
        <v>28</v>
      </c>
    </row>
    <row r="6" spans="1:8" x14ac:dyDescent="0.25">
      <c r="A6" s="25" t="s">
        <v>85</v>
      </c>
      <c r="B6">
        <v>5</v>
      </c>
      <c r="C6" t="s">
        <v>106</v>
      </c>
      <c r="E6" t="s">
        <v>97</v>
      </c>
      <c r="H6">
        <f>SUM(B3:B8)</f>
        <v>27</v>
      </c>
    </row>
    <row r="7" spans="1:8" x14ac:dyDescent="0.25">
      <c r="A7" t="s">
        <v>99</v>
      </c>
      <c r="B7" s="1">
        <v>6</v>
      </c>
      <c r="C7" t="s">
        <v>107</v>
      </c>
      <c r="E7" t="s">
        <v>98</v>
      </c>
      <c r="H7">
        <f>SUM(A1:C8)</f>
        <v>98</v>
      </c>
    </row>
    <row r="8" spans="1:8" x14ac:dyDescent="0.25">
      <c r="A8" s="27" t="s">
        <v>72</v>
      </c>
      <c r="B8" s="30">
        <v>7</v>
      </c>
      <c r="C8">
        <f>B8*10</f>
        <v>70</v>
      </c>
      <c r="E8" t="s">
        <v>109</v>
      </c>
      <c r="H8">
        <f>SUM(B2:B9)</f>
        <v>56</v>
      </c>
    </row>
    <row r="9" spans="1:8" x14ac:dyDescent="0.25">
      <c r="A9" t="s">
        <v>111</v>
      </c>
      <c r="B9" s="5">
        <f>SUBTOTAL(109,TTableTotals[n])</f>
        <v>28</v>
      </c>
      <c r="C9">
        <f>SUBTOTAL(103,TTableTotals[m])</f>
        <v>7</v>
      </c>
      <c r="H9">
        <f>SUM(A1:C9)</f>
        <v>133</v>
      </c>
    </row>
    <row r="10" spans="1:8" x14ac:dyDescent="0.25">
      <c r="A10" s="29"/>
      <c r="H10" s="30">
        <f>SUM(B8:B9)</f>
        <v>35</v>
      </c>
    </row>
    <row r="11" spans="1:8" x14ac:dyDescent="0.25">
      <c r="H11" s="1">
        <f>SUM(B7:B9)</f>
        <v>41</v>
      </c>
    </row>
    <row r="12" spans="1:8" x14ac:dyDescent="0.25">
      <c r="A12" t="s">
        <v>110</v>
      </c>
      <c r="B12">
        <f>SUM(B2:B8)</f>
        <v>28</v>
      </c>
      <c r="C12">
        <f>SUM(TTableTotals[n])</f>
        <v>28</v>
      </c>
      <c r="D12">
        <f>B5</f>
        <v>4</v>
      </c>
      <c r="H12">
        <f>SUM(B6:B9)</f>
        <v>46</v>
      </c>
    </row>
    <row r="13" spans="1:8" x14ac:dyDescent="0.25">
      <c r="H13" s="5">
        <f>SUM(B9:B12)</f>
        <v>56</v>
      </c>
    </row>
    <row r="14" spans="1:8" x14ac:dyDescent="0.25">
      <c r="H14" s="30">
        <f>SUM(B8:B10)</f>
        <v>35</v>
      </c>
    </row>
    <row r="15" spans="1:8" x14ac:dyDescent="0.25">
      <c r="H15">
        <f>SUM(B4:B10)</f>
        <v>53</v>
      </c>
    </row>
    <row r="16" spans="1:8" x14ac:dyDescent="0.25">
      <c r="H16">
        <f>SUM(A8:E8)</f>
        <v>77</v>
      </c>
    </row>
    <row r="17" spans="8:8" x14ac:dyDescent="0.25">
      <c r="H17">
        <f>SUM(A6:D8)</f>
        <v>88</v>
      </c>
    </row>
    <row r="18" spans="8:8" x14ac:dyDescent="0.25">
      <c r="H18">
        <f>SUM(A9:E9)</f>
        <v>35</v>
      </c>
    </row>
    <row r="19" spans="8:8" x14ac:dyDescent="0.25">
      <c r="H19">
        <f>SUM(A6:E9)</f>
        <v>123</v>
      </c>
    </row>
    <row r="20" spans="8:8" x14ac:dyDescent="0.25">
      <c r="H20">
        <f>SUM(A8:C8)</f>
        <v>77</v>
      </c>
    </row>
    <row r="21" spans="8:8" x14ac:dyDescent="0.25">
      <c r="H21">
        <f>SUM(A7:C9)</f>
        <v>118</v>
      </c>
    </row>
    <row r="22" spans="8:8" x14ac:dyDescent="0.25">
      <c r="H22">
        <f>SUM(A5:C9)</f>
        <v>127</v>
      </c>
    </row>
  </sheetData>
  <conditionalFormatting sqref="B4:B8">
    <cfRule type="cellIs" priority="1" stopIfTrue="1" operator="greaterThan">
      <formula>3</formula>
    </cfRule>
  </conditionalFormatting>
  <conditionalFormatting sqref="B2:B6">
    <cfRule type="cellIs" priority="2" stopIfTrue="1" operator="greaterThan">
      <formula>4</formula>
    </cfRule>
  </conditionalFormatting>
  <conditionalFormatting sqref="A6:A8">
    <cfRule type="cellIs" priority="3" stopIfTrue="1" operator="equal">
      <formula>"a"</formula>
    </cfRule>
  </conditionalFormatting>
  <conditionalFormatting sqref="C2:C8">
    <cfRule type="expression" priority="4" stopIfTrue="1">
      <formula>$B2&gt;3</formula>
    </cfRule>
  </conditionalFormatting>
  <conditionalFormatting sqref="A2:E8">
    <cfRule type="cellIs" priority="5" stopIfTrue="1" operator="greaterThan">
      <formula>100</formula>
    </cfRule>
  </conditionalFormatting>
  <conditionalFormatting sqref="A8:E8">
    <cfRule type="cellIs" priority="6" stopIfTrue="1" operator="greaterThan">
      <formula>200</formula>
    </cfRule>
  </conditionalFormatting>
  <conditionalFormatting sqref="A9:C9">
    <cfRule type="cellIs" priority="7" stopIfTrue="1" operator="greaterThan">
      <formula>1000</formula>
    </cfRule>
  </conditionalFormatting>
  <dataValidations count="3">
    <dataValidation type="whole" allowBlank="1" showInputMessage="1" showErrorMessage="1" sqref="B2:B8" xr:uid="{8268039E-E285-40DC-B7D1-107455A73996}">
      <formula1>0</formula1>
      <formula2>9</formula2>
    </dataValidation>
    <dataValidation type="textLength" operator="lessThanOrEqual" allowBlank="1" showInputMessage="1" showErrorMessage="1" sqref="C4:C8" xr:uid="{B017BE3E-0B7B-4656-BA9E-A6B611E9DA13}">
      <formula1>9</formula1>
    </dataValidation>
    <dataValidation type="list" allowBlank="1" showInputMessage="1" showErrorMessage="1" sqref="E2:E8" xr:uid="{869BBE4C-5719-40B9-AFC9-6B0917D40FC2}">
      <formula1>$A$2:$A$8</formula1>
    </dataValidation>
  </dataValidations>
  <hyperlinks>
    <hyperlink ref="A5" r:id="rId1" display="https://example.com/removed" xr:uid="{FFE44497-FFF7-48A6-AC70-23DCA90AD05E}"/>
    <hyperlink ref="A6" r:id="rId2" display="https://example.com/moves" xr:uid="{2D557415-9510-462B-B318-03E60F0AF426}"/>
  </hyperlinks>
  <pageMargins left="0.7" right="0.7" top="0.75" bottom="0.75" header="0.3" footer="0.3"/>
  <drawing r:id="rId3"/>
  <legacyDrawing r:id="rId4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AE9A-384D-4189-86FB-A552CA2C0F81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9" spans="1:5" x14ac:dyDescent="0.25">
      <c r="A9" t="s">
        <v>111</v>
      </c>
      <c r="B9">
        <f>SUBTOTAL(109,TTableTotalsShapes[n])</f>
        <v>28</v>
      </c>
      <c r="C9">
        <f>SUBTOTAL(103,TTableTotalsShapes[m])</f>
        <v>7</v>
      </c>
    </row>
    <row r="12" spans="1:5" x14ac:dyDescent="0.25">
      <c r="A12" t="s">
        <v>110</v>
      </c>
      <c r="B12">
        <f>SUM(B2:B8)</f>
        <v>28</v>
      </c>
      <c r="C12">
        <f>SUM(TTableTotalsShapes[n])</f>
        <v>28</v>
      </c>
      <c r="D12">
        <f>B5</f>
        <v>4</v>
      </c>
    </row>
  </sheetData>
  <conditionalFormatting sqref="A2:C9">
    <cfRule type="cellIs" priority="1" stopIfTrue="1" operator="greaterThan">
      <formula>100</formula>
    </cfRule>
  </conditionalFormatting>
  <conditionalFormatting sqref="B9">
    <cfRule type="cellIs" priority="2" stopIfTrue="1" operator="greaterThan">
      <formula>200</formula>
    </cfRule>
  </conditionalFormatting>
  <conditionalFormatting sqref="A8:C9">
    <cfRule type="cellIs" priority="3" stopIfTrue="1" operator="greaterThan">
      <formula>300</formula>
    </cfRule>
  </conditionalFormatting>
  <conditionalFormatting sqref="A9:E9">
    <cfRule type="cellIs" priority="4" stopIfTrue="1" operator="greaterThan">
      <formula>400</formula>
    </cfRule>
  </conditionalFormatting>
  <conditionalFormatting sqref="A1:C9">
    <cfRule type="cellIs" priority="5" stopIfTrue="1" operator="greaterThan">
      <formula>500</formula>
    </cfRule>
  </conditionalFormatting>
  <conditionalFormatting sqref="A9:C9">
    <cfRule type="expression" priority="6" stopIfTrue="1">
      <formula>$B9&gt;0</formula>
    </cfRule>
  </conditionalFormatting>
  <dataValidations count="3">
    <dataValidation type="textLength" operator="lessThanOrEqual" allowBlank="1" showInputMessage="1" showErrorMessage="1" sqref="A2:A9" xr:uid="{F8DCDF36-F403-4E64-BC29-6AFE86F71E1A}">
      <formula1>9</formula1>
    </dataValidation>
    <dataValidation type="whole" allowBlank="1" showInputMessage="1" showErrorMessage="1" sqref="B1:B9" xr:uid="{D4402545-997E-49EF-829A-BAD2F126DE01}">
      <formula1>0</formula1>
      <formula2>99</formula2>
    </dataValidation>
    <dataValidation type="textLength" operator="lessThanOrEqual" allowBlank="1" showInputMessage="1" showErrorMessage="1" sqref="C9" xr:uid="{E74E7471-AA13-4E76-925A-9F5BFFCA93BC}">
      <formula1>20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BD67-A979-4204-AE1A-80A81CB110DD}">
  <dimension ref="A1:A6"/>
  <sheetViews>
    <sheetView workbookViewId="0"/>
  </sheetViews>
  <sheetFormatPr defaultRowHeight="15" x14ac:dyDescent="0.25"/>
  <sheetData>
    <row r="1" spans="1:1" x14ac:dyDescent="0.25">
      <c r="A1">
        <f>SUM(Table!B2:B8)</f>
        <v>28</v>
      </c>
    </row>
    <row r="2" spans="1:1" x14ac:dyDescent="0.25">
      <c r="A2" s="1">
        <f>Table!B7</f>
        <v>6</v>
      </c>
    </row>
    <row r="3" spans="1:1" x14ac:dyDescent="0.25">
      <c r="A3">
        <f>SUM(TableTotals!B2:B8)</f>
        <v>28</v>
      </c>
    </row>
    <row r="4" spans="1:1" x14ac:dyDescent="0.25">
      <c r="A4">
        <f>TableTotals!B9</f>
        <v>28</v>
      </c>
    </row>
    <row r="5" spans="1:1" x14ac:dyDescent="0.25">
      <c r="A5">
        <f>SUM(TableTotals!A1:C9)</f>
        <v>133</v>
      </c>
    </row>
    <row r="6" spans="1:1" x14ac:dyDescent="0.25">
      <c r="A6" s="1">
        <f>TableTotals!B7</f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F2CB-76AA-4B29-9332-B0ECAAB9A6C9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SUM(TTableInner[n])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DC95-3859-411E-A634-662807EA337C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SUM(TTableCell[n])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1341-5135-433F-B853-68EF35F62F21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SUM(TTableNoHeaderAsked[n])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8001-00E9-4A5F-8E58-9FBEBB305B56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9" spans="1:5" x14ac:dyDescent="0.25">
      <c r="A9" t="s">
        <v>111</v>
      </c>
      <c r="B9">
        <f>SUBTOTAL(109,TTableTotalsRow[n])</f>
        <v>28</v>
      </c>
      <c r="C9">
        <f>SUBTOTAL(103,TTableTotalsRow[m])</f>
        <v>7</v>
      </c>
    </row>
    <row r="12" spans="1:5" x14ac:dyDescent="0.25">
      <c r="A12" t="s">
        <v>110</v>
      </c>
      <c r="B12">
        <f>SUM(B2:B8)</f>
        <v>28</v>
      </c>
      <c r="C12">
        <f>SUM(TTableTotalsRow[n])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4BCE-9D2F-4754-A9B8-290604BF5DD8}">
  <dimension ref="A1:F12"/>
  <sheetViews>
    <sheetView workbookViewId="0"/>
  </sheetViews>
  <sheetFormatPr defaultRowHeight="15" x14ac:dyDescent="0.25"/>
  <sheetData>
    <row r="1" spans="1:6" x14ac:dyDescent="0.25">
      <c r="A1" t="s">
        <v>81</v>
      </c>
      <c r="B1" t="s">
        <v>84</v>
      </c>
      <c r="C1" t="s">
        <v>1</v>
      </c>
      <c r="D1" t="s">
        <v>112</v>
      </c>
      <c r="F1" t="s">
        <v>92</v>
      </c>
    </row>
    <row r="2" spans="1:6" x14ac:dyDescent="0.25">
      <c r="A2" t="s">
        <v>7</v>
      </c>
      <c r="B2">
        <v>1</v>
      </c>
      <c r="C2" t="s">
        <v>102</v>
      </c>
      <c r="D2" t="str">
        <f>TTableCalc[[#This Row],[k]]&amp;TTableCalc[[#This Row],[n]]</f>
        <v>a1</v>
      </c>
      <c r="F2" t="s">
        <v>93</v>
      </c>
    </row>
    <row r="3" spans="1:6" x14ac:dyDescent="0.25">
      <c r="A3" t="s">
        <v>7</v>
      </c>
      <c r="B3">
        <v>2</v>
      </c>
      <c r="C3" t="s">
        <v>103</v>
      </c>
      <c r="D3" t="str">
        <f>TTableCalc[[#This Row],[k]]&amp;TTableCalc[[#This Row],[n]]</f>
        <v>a2</v>
      </c>
      <c r="F3" t="s">
        <v>94</v>
      </c>
    </row>
    <row r="4" spans="1:6" x14ac:dyDescent="0.25">
      <c r="A4" t="s">
        <v>99</v>
      </c>
      <c r="B4">
        <v>3</v>
      </c>
      <c r="C4" t="s">
        <v>104</v>
      </c>
      <c r="D4" t="str">
        <f>TTableCalc[[#This Row],[k]]&amp;TTableCalc[[#This Row],[n]]</f>
        <v>b3</v>
      </c>
      <c r="F4" t="s">
        <v>95</v>
      </c>
    </row>
    <row r="5" spans="1:6" x14ac:dyDescent="0.25">
      <c r="A5" t="s">
        <v>7</v>
      </c>
      <c r="B5">
        <v>4</v>
      </c>
      <c r="C5" t="s">
        <v>105</v>
      </c>
      <c r="D5" t="str">
        <f>TTableCalc[[#This Row],[k]]&amp;TTableCalc[[#This Row],[n]]</f>
        <v>a4</v>
      </c>
      <c r="F5" t="s">
        <v>96</v>
      </c>
    </row>
    <row r="6" spans="1:6" x14ac:dyDescent="0.25">
      <c r="A6" t="s">
        <v>85</v>
      </c>
      <c r="B6">
        <v>5</v>
      </c>
      <c r="C6" t="s">
        <v>106</v>
      </c>
      <c r="D6" t="str">
        <f>TTableCalc[[#This Row],[k]]&amp;TTableCalc[[#This Row],[n]]</f>
        <v>c5</v>
      </c>
      <c r="F6" t="s">
        <v>97</v>
      </c>
    </row>
    <row r="7" spans="1:6" x14ac:dyDescent="0.25">
      <c r="A7" t="s">
        <v>99</v>
      </c>
      <c r="B7">
        <v>6</v>
      </c>
      <c r="C7" t="s">
        <v>107</v>
      </c>
      <c r="D7" t="str">
        <f>TTableCalc[[#This Row],[k]]&amp;TTableCalc[[#This Row],[n]]</f>
        <v>b6</v>
      </c>
      <c r="F7" t="s">
        <v>98</v>
      </c>
    </row>
    <row r="8" spans="1:6" x14ac:dyDescent="0.25">
      <c r="A8" t="s">
        <v>72</v>
      </c>
      <c r="B8">
        <v>7</v>
      </c>
      <c r="C8" t="s">
        <v>108</v>
      </c>
      <c r="D8" t="str">
        <f>TTableCalc[[#This Row],[k]]&amp;TTableCalc[[#This Row],[n]]</f>
        <v>d7</v>
      </c>
      <c r="F8" t="s">
        <v>109</v>
      </c>
    </row>
    <row r="12" spans="1:6" x14ac:dyDescent="0.25">
      <c r="A12" t="s">
        <v>110</v>
      </c>
      <c r="B12">
        <f>SUM(B2:B8)</f>
        <v>28</v>
      </c>
      <c r="C12">
        <f>SUM(TTableCalc[n])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C188-4E05-4C20-9971-C6D97C4F83F0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hidden="1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hidden="1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hidden="1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SUM(TTableHidden[n])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FD23-E9C0-44FA-901B-F5FFE9C1E5CD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hidden="1" x14ac:dyDescent="0.25">
      <c r="A2" t="s">
        <v>7</v>
      </c>
      <c r="B2">
        <v>1</v>
      </c>
      <c r="C2" t="s">
        <v>102</v>
      </c>
      <c r="E2" t="s">
        <v>93</v>
      </c>
    </row>
    <row r="3" spans="1:5" hidden="1" x14ac:dyDescent="0.25">
      <c r="A3" t="s">
        <v>7</v>
      </c>
      <c r="B3">
        <v>2</v>
      </c>
      <c r="C3" t="s">
        <v>103</v>
      </c>
      <c r="E3" t="s">
        <v>94</v>
      </c>
    </row>
    <row r="4" spans="1:5" hidden="1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SUM(TTableFiltered[n])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8075-6BBE-4527-A6A1-1ED807101A7B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hidden="1" x14ac:dyDescent="0.25">
      <c r="A6" t="s">
        <v>85</v>
      </c>
      <c r="B6">
        <v>5</v>
      </c>
      <c r="C6" t="s">
        <v>106</v>
      </c>
      <c r="E6" t="s">
        <v>97</v>
      </c>
    </row>
    <row r="7" spans="1:5" hidden="1" x14ac:dyDescent="0.25">
      <c r="A7" t="s">
        <v>99</v>
      </c>
      <c r="B7">
        <v>6</v>
      </c>
      <c r="C7" t="s">
        <v>107</v>
      </c>
      <c r="E7" t="s">
        <v>98</v>
      </c>
    </row>
    <row r="8" spans="1:5" hidden="1" x14ac:dyDescent="0.25">
      <c r="A8" t="s">
        <v>72</v>
      </c>
      <c r="B8">
        <v>7</v>
      </c>
      <c r="C8" t="s">
        <v>108</v>
      </c>
      <c r="E8" t="s">
        <v>109</v>
      </c>
    </row>
    <row r="9" spans="1:5" x14ac:dyDescent="0.25">
      <c r="A9" t="s">
        <v>111</v>
      </c>
      <c r="B9">
        <f>SUBTOTAL(109,TTableFilteredTotals[n])</f>
        <v>10</v>
      </c>
      <c r="C9">
        <f>SUBTOTAL(103,TTableFilteredTotals[m])</f>
        <v>4</v>
      </c>
    </row>
    <row r="12" spans="1:5" x14ac:dyDescent="0.25">
      <c r="A12" t="s">
        <v>110</v>
      </c>
      <c r="B12">
        <f>SUM(B2:B8)</f>
        <v>28</v>
      </c>
      <c r="C12">
        <f>SUM(TTableFilteredTotals[n])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972E-1393-4B10-A763-BDD51DA87F5C}">
  <dimension ref="A1:E12"/>
  <sheetViews>
    <sheetView workbookViewId="0">
      <selection activeCell="A2" sqref="A2"/>
    </sheetView>
  </sheetViews>
  <sheetFormatPr defaultRowHeight="15" x14ac:dyDescent="0.25"/>
  <sheetData>
    <row r="1" spans="1:5" x14ac:dyDescent="0.25"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hidden="1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SUM(TTableHeadless[n])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C191-0726-47E9-91FE-D7AFAB4A415E}">
  <dimension ref="A1:B5"/>
  <sheetViews>
    <sheetView workbookViewId="0"/>
  </sheetViews>
  <sheetFormatPr defaultRowHeight="15" x14ac:dyDescent="0.25"/>
  <sheetData>
    <row r="1" spans="1:2" x14ac:dyDescent="0.25">
      <c r="A1" t="s">
        <v>81</v>
      </c>
      <c r="B1" t="s">
        <v>84</v>
      </c>
    </row>
    <row r="2" spans="1:2" x14ac:dyDescent="0.25">
      <c r="A2" t="s">
        <v>7</v>
      </c>
      <c r="B2">
        <v>1</v>
      </c>
    </row>
    <row r="3" spans="1:2" x14ac:dyDescent="0.25">
      <c r="A3" t="s">
        <v>99</v>
      </c>
      <c r="B3">
        <v>2</v>
      </c>
    </row>
    <row r="4" spans="1:2" x14ac:dyDescent="0.25">
      <c r="A4" t="s">
        <v>7</v>
      </c>
      <c r="B4">
        <v>3</v>
      </c>
    </row>
    <row r="5" spans="1:2" x14ac:dyDescent="0.25">
      <c r="A5" t="s">
        <v>85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DB71-BE47-4C58-8C5F-F86499502BD2}">
  <dimension ref="A1:B6"/>
  <sheetViews>
    <sheetView workbookViewId="0"/>
  </sheetViews>
  <sheetFormatPr defaultRowHeight="15" x14ac:dyDescent="0.25"/>
  <sheetData>
    <row r="1" spans="1:2" x14ac:dyDescent="0.25">
      <c r="A1" t="s">
        <v>81</v>
      </c>
      <c r="B1" t="s">
        <v>84</v>
      </c>
    </row>
    <row r="2" spans="1:2" x14ac:dyDescent="0.25">
      <c r="A2" t="s">
        <v>7</v>
      </c>
      <c r="B2">
        <v>1</v>
      </c>
    </row>
    <row r="3" spans="1:2" x14ac:dyDescent="0.25">
      <c r="A3" t="s">
        <v>99</v>
      </c>
      <c r="B3">
        <v>2</v>
      </c>
    </row>
    <row r="4" spans="1:2" x14ac:dyDescent="0.25">
      <c r="A4" t="s">
        <v>7</v>
      </c>
      <c r="B4">
        <v>3</v>
      </c>
    </row>
    <row r="5" spans="1:2" x14ac:dyDescent="0.25">
      <c r="A5" t="s">
        <v>85</v>
      </c>
      <c r="B5">
        <v>4</v>
      </c>
    </row>
    <row r="6" spans="1:2" x14ac:dyDescent="0.25">
      <c r="A6" t="s">
        <v>83</v>
      </c>
      <c r="B6">
        <f>SUM(B2:B5)</f>
        <v>10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178C-E911-4737-ADEF-1D356D900568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SUM(TTableSorted[n])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4A94-3ED3-4672-AFB3-CD7B18D0953D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SUM(TTableUnique[n])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10F3-0299-4E9F-9B5E-4A190DAB461B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SUM(TTableWider[n])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8267-EAC6-4C79-9955-418B2FE29095}">
  <dimension ref="A1:E12"/>
  <sheetViews>
    <sheetView workbookViewId="0"/>
  </sheetViews>
  <sheetFormatPr defaultRowHeight="15" x14ac:dyDescent="0.25"/>
  <sheetData>
    <row r="1" spans="1:5" x14ac:dyDescent="0.25">
      <c r="A1" t="s">
        <v>81</v>
      </c>
      <c r="B1" t="s">
        <v>84</v>
      </c>
      <c r="C1" t="s">
        <v>1</v>
      </c>
      <c r="E1" t="s">
        <v>92</v>
      </c>
    </row>
    <row r="2" spans="1:5" x14ac:dyDescent="0.25">
      <c r="A2" t="s">
        <v>7</v>
      </c>
      <c r="B2">
        <v>1</v>
      </c>
      <c r="C2" t="s">
        <v>102</v>
      </c>
      <c r="E2" t="s">
        <v>93</v>
      </c>
    </row>
    <row r="3" spans="1:5" x14ac:dyDescent="0.25">
      <c r="A3" t="s">
        <v>7</v>
      </c>
      <c r="B3">
        <v>2</v>
      </c>
      <c r="C3" t="s">
        <v>103</v>
      </c>
      <c r="E3" t="s">
        <v>94</v>
      </c>
    </row>
    <row r="4" spans="1:5" x14ac:dyDescent="0.25">
      <c r="A4" t="s">
        <v>99</v>
      </c>
      <c r="B4">
        <v>3</v>
      </c>
      <c r="C4" t="s">
        <v>104</v>
      </c>
      <c r="E4" t="s">
        <v>95</v>
      </c>
    </row>
    <row r="5" spans="1:5" x14ac:dyDescent="0.25">
      <c r="A5" t="s">
        <v>7</v>
      </c>
      <c r="B5">
        <v>4</v>
      </c>
      <c r="C5" t="s">
        <v>105</v>
      </c>
      <c r="E5" t="s">
        <v>96</v>
      </c>
    </row>
    <row r="6" spans="1:5" x14ac:dyDescent="0.25">
      <c r="A6" t="s">
        <v>85</v>
      </c>
      <c r="B6">
        <v>5</v>
      </c>
      <c r="C6" t="s">
        <v>106</v>
      </c>
      <c r="E6" t="s">
        <v>97</v>
      </c>
    </row>
    <row r="7" spans="1:5" x14ac:dyDescent="0.25">
      <c r="A7" t="s">
        <v>99</v>
      </c>
      <c r="B7">
        <v>6</v>
      </c>
      <c r="C7" t="s">
        <v>107</v>
      </c>
      <c r="E7" t="s">
        <v>98</v>
      </c>
    </row>
    <row r="8" spans="1:5" x14ac:dyDescent="0.25">
      <c r="A8" t="s">
        <v>72</v>
      </c>
      <c r="B8">
        <v>7</v>
      </c>
      <c r="C8" t="s">
        <v>108</v>
      </c>
      <c r="E8" t="s">
        <v>109</v>
      </c>
    </row>
    <row r="12" spans="1:5" x14ac:dyDescent="0.25">
      <c r="A12" t="s">
        <v>110</v>
      </c>
      <c r="B12">
        <f>SUM(B2:B8)</f>
        <v>28</v>
      </c>
      <c r="C12">
        <f>SUM(TTableLonger[n])</f>
        <v>28</v>
      </c>
      <c r="D12">
        <f>B5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4</vt:i4>
      </vt:variant>
    </vt:vector>
  </HeadingPairs>
  <TitlesOfParts>
    <vt:vector size="38" baseType="lpstr">
      <vt:lpstr>Pairs</vt:lpstr>
      <vt:lpstr>Keys</vt:lpstr>
      <vt:lpstr>Moves</vt:lpstr>
      <vt:lpstr>Partial</vt:lpstr>
      <vt:lpstr>NoHeader</vt:lpstr>
      <vt:lpstr>Hidden</vt:lpstr>
      <vt:lpstr>Merged</vt:lpstr>
      <vt:lpstr>ArrayRows</vt:lpstr>
      <vt:lpstr>ArrayStays</vt:lpstr>
      <vt:lpstr>ArrayRemoved</vt:lpstr>
      <vt:lpstr>ArrayMoves</vt:lpstr>
      <vt:lpstr>Total</vt:lpstr>
      <vt:lpstr>TotalAway</vt:lpstr>
      <vt:lpstr>NotTotal</vt:lpstr>
      <vt:lpstr>EmptyBelow</vt:lpstr>
      <vt:lpstr>Table</vt:lpstr>
      <vt:lpstr>TableTotals</vt:lpstr>
      <vt:lpstr>TableTotalsShapes</vt:lpstr>
      <vt:lpstr>Reader</vt:lpstr>
      <vt:lpstr>TableInner</vt:lpstr>
      <vt:lpstr>TableCell</vt:lpstr>
      <vt:lpstr>TableNoHeaderAsked</vt:lpstr>
      <vt:lpstr>TableTotalsRow</vt:lpstr>
      <vt:lpstr>TableCalc</vt:lpstr>
      <vt:lpstr>TableHidden</vt:lpstr>
      <vt:lpstr>TableFiltered</vt:lpstr>
      <vt:lpstr>TableFilteredTotals</vt:lpstr>
      <vt:lpstr>TableHeadless</vt:lpstr>
      <vt:lpstr>TableEmptyRows</vt:lpstr>
      <vt:lpstr>TableLastSum</vt:lpstr>
      <vt:lpstr>TableSorted</vt:lpstr>
      <vt:lpstr>TableUnique</vt:lpstr>
      <vt:lpstr>TableWider</vt:lpstr>
      <vt:lpstr>TableLonger</vt:lpstr>
      <vt:lpstr>TableGone</vt:lpstr>
      <vt:lpstr>TableSpan</vt:lpstr>
      <vt:lpstr>TotalsCell</vt:lpstr>
      <vt:lpstr>TotalsSpan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2026-09-26T18:02:56Z</dcterms:created>
  <dcterms:modified xsi:type="dcterms:W3CDTF">2026-09-26T18:02:56Z</dcterms:modified>
</cp:coreProperties>
</file>
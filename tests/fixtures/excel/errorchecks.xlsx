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12AB046B-15D8-4C52-A05B-74CAAA2237EC}" xr6:coauthVersionLast="47" xr6:coauthVersionMax="47" xr10:uidLastSave="{00000000-0000-0000-0000-000000000000}"/>
  <bookViews>
    <workbookView xWindow="-120" yWindow="-120" windowWidth="9840" windowHeight="6720" activeTab="4" xr2:uid="{34D6375B-848C-44F3-9708-000B3E3D83BB}"/>
  </bookViews>
  <sheets>
    <sheet name="Text" sheetId="1" r:id="rId1"/>
    <sheet name="Values" sheetId="2" r:id="rId2"/>
    <sheet name="Regions" sheetId="3" r:id="rId3"/>
    <sheet name="Empty" sheetId="4" r:id="rId4"/>
    <sheet name="Tables" sheetId="5" r:id="rId5"/>
    <sheet name="Ignored" sheetId="6" r:id="rId6"/>
  </sheets>
  <definedNames>
    <definedName name="Four">Regions!$A$15</definedName>
    <definedName name="NameNA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6" l="1"/>
  <c r="C5" i="5"/>
  <c r="C6" i="5"/>
  <c r="C2" i="5"/>
  <c r="C3" i="5"/>
  <c r="G40" i="4"/>
  <c r="E21" i="4"/>
  <c r="E5" i="4"/>
  <c r="A5" i="4"/>
  <c r="A3" i="4"/>
  <c r="A1" i="4"/>
  <c r="B20" i="3"/>
  <c r="F16" i="3"/>
  <c r="E15" i="3"/>
  <c r="D14" i="3"/>
  <c r="C13" i="3"/>
  <c r="B12" i="3"/>
  <c r="D3" i="3"/>
  <c r="D2" i="3"/>
  <c r="D1" i="3"/>
  <c r="C9" i="3"/>
  <c r="B3" i="3"/>
  <c r="E9" i="3"/>
  <c r="B5" i="3"/>
  <c r="D9" i="3"/>
  <c r="B4" i="3"/>
  <c r="B9" i="3"/>
  <c r="B2" i="3"/>
  <c r="A9" i="3"/>
  <c r="B1" i="3"/>
  <c r="E15" i="2"/>
  <c r="E13" i="2"/>
  <c r="E11" i="2"/>
  <c r="E9" i="2"/>
  <c r="E7" i="2"/>
  <c r="E5" i="2"/>
  <c r="E3" i="2"/>
  <c r="E1" i="2"/>
  <c r="C5" i="2"/>
  <c r="C1" i="2"/>
  <c r="A17" i="2"/>
  <c r="A13" i="2"/>
  <c r="A11" i="2"/>
  <c r="A9" i="2"/>
  <c r="A7" i="2"/>
  <c r="A5" i="2"/>
  <c r="A3" i="2"/>
  <c r="A1" i="2"/>
  <c r="E11" i="1"/>
  <c r="E9" i="1"/>
  <c r="E7" i="1"/>
  <c r="E5" i="1"/>
  <c r="E3" i="1"/>
  <c r="E1" i="1"/>
</calcChain>
</file>

<file path=xl/sharedStrings.xml><?xml version="1.0" encoding="utf-8"?>
<sst xmlns="http://schemas.openxmlformats.org/spreadsheetml/2006/main" count="59" uniqueCount="53">
  <si>
    <t>123</t>
  </si>
  <si>
    <t>1,000</t>
  </si>
  <si>
    <t>$5</t>
  </si>
  <si>
    <t>5%</t>
  </si>
  <si>
    <t>(5)</t>
  </si>
  <si>
    <t>1 1/2</t>
  </si>
  <si>
    <t>1e5</t>
  </si>
  <si>
    <t>0123</t>
  </si>
  <si>
    <t xml:space="preserve"> 123</t>
  </si>
  <si>
    <t>1,0000</t>
  </si>
  <si>
    <t>0,123</t>
  </si>
  <si>
    <t>$5%</t>
  </si>
  <si>
    <t>5-</t>
  </si>
  <si>
    <t>1,2</t>
  </si>
  <si>
    <t>abc</t>
  </si>
  <si>
    <t>TRUE</t>
  </si>
  <si>
    <t>1/2</t>
  </si>
  <si>
    <t>12:30</t>
  </si>
  <si>
    <t>1/1/2020</t>
  </si>
  <si>
    <t>1/1/99</t>
  </si>
  <si>
    <t>1-Jan-99</t>
  </si>
  <si>
    <t>Jan 99</t>
  </si>
  <si>
    <t>99 Jan</t>
  </si>
  <si>
    <t>Jan 1 99</t>
  </si>
  <si>
    <t>1 1/0</t>
  </si>
  <si>
    <t>1/0</t>
  </si>
  <si>
    <t>12/31/29</t>
  </si>
  <si>
    <t xml:space="preserve"> 1/1/99</t>
  </si>
  <si>
    <t>Feb Jan 99</t>
  </si>
  <si>
    <t>1/287/99</t>
  </si>
  <si>
    <t>Jan, 99</t>
  </si>
  <si>
    <t xml:space="preserve">1/1/99 </t>
  </si>
  <si>
    <t>1/1/99 12:00</t>
  </si>
  <si>
    <t>1.1.99</t>
  </si>
  <si>
    <t>99/1/1</t>
  </si>
  <si>
    <t>Jan 0</t>
  </si>
  <si>
    <t>1/1/099</t>
  </si>
  <si>
    <t>Jan,99</t>
  </si>
  <si>
    <t>1/ 1/99</t>
  </si>
  <si>
    <t>x</t>
  </si>
  <si>
    <t>a</t>
  </si>
  <si>
    <t>b</t>
  </si>
  <si>
    <t>c</t>
  </si>
  <si>
    <t>d</t>
  </si>
  <si>
    <t>X</t>
  </si>
  <si>
    <t>z</t>
  </si>
  <si>
    <t>k</t>
  </si>
  <si>
    <t>v</t>
  </si>
  <si>
    <t>5</t>
  </si>
  <si>
    <t>A</t>
  </si>
  <si>
    <t xml:space="preserve"> b</t>
  </si>
  <si>
    <t>7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</si>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</sst>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0" xfId="0" applyProtection="1">
      <protection locked="0"/>
    </xf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9F68E-D4C7-41AD-A5EE-63D41CA122F2}" name="Checked" displayName="Checked" ref="A1:D6" totalsRowShown="0">
  <autoFilter ref="A1:D6" xr:uid="{EDC9F68E-D4C7-41AD-A5EE-63D41CA122F2}"/>
  <tableColumns count="4">
    <tableColumn id="1" xr3:uid="{12A36CDF-2CBA-466E-A8CB-C5890E1E11FF}" name="a"/>
    <tableColumn id="2" xr3:uid="{7E662C57-21A5-41B5-82E3-84A6AC940F4D}" name="b"/>
    <tableColumn id="3" xr3:uid="{71384A9E-B2BE-46AF-B47A-011382C0C24B}" name="c">
      <calculatedColumnFormula>Checked[[#This Row],[a]]*2</calculatedColumnFormula>
    </tableColumn>
    <tableColumn id="4" xr3:uid="{D40FD368-85F6-409C-9FE4-0D3501EDD021}" name="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90338-9211-49B0-A723-804FE428613B}" name="Kinds" displayName="Kinds" ref="A10:B30" totalsRowShown="0">
  <autoFilter ref="A10:B30" xr:uid="{EAB90338-9211-49B0-A723-804FE428613B}"/>
  <tableColumns count="2">
    <tableColumn id="1" xr3:uid="{84282F14-C789-4432-B452-4382A9758FCE}" name="k"/>
    <tableColumn id="2" xr3:uid="{0C44EB1F-B629-41B4-A697-23A0BD057881}" name="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B0C7-1538-4CF4-886D-95421B3C6EC5}">
  <sheetPr codeName="Sheet1"/>
  <dimension ref="A1:E20"/>
  <sheetViews>
    <sheetView workbookViewId="0"/>
  </sheetViews>
  <sheetFormatPr defaultRowHeight="15" x14ac:dyDescent="0.25"/>
  <sheetData>
    <row r="1" spans="1:5" x14ac:dyDescent="0.25">
      <c r="A1" s="1" t="s">
        <v>0</v>
      </c>
      <c r="C1" s="1" t="s">
        <v>19</v>
      </c>
      <c r="E1" t="str">
        <f>"1/1/99"</f>
        <v>1/1/99</v>
      </c>
    </row>
    <row r="2" spans="1:5" x14ac:dyDescent="0.25">
      <c r="A2" s="1" t="s">
        <v>1</v>
      </c>
      <c r="C2" s="1" t="s">
        <v>20</v>
      </c>
    </row>
    <row r="3" spans="1:5" x14ac:dyDescent="0.25">
      <c r="A3" s="1" t="s">
        <v>2</v>
      </c>
      <c r="C3" s="1" t="s">
        <v>21</v>
      </c>
      <c r="E3">
        <f>YEAR("1/1/31")</f>
        <v>1931</v>
      </c>
    </row>
    <row r="4" spans="1:5" x14ac:dyDescent="0.25">
      <c r="A4" s="1" t="s">
        <v>3</v>
      </c>
      <c r="C4" s="1" t="s">
        <v>22</v>
      </c>
    </row>
    <row r="5" spans="1:5" x14ac:dyDescent="0.25">
      <c r="A5" s="1" t="s">
        <v>4</v>
      </c>
      <c r="C5" s="1" t="s">
        <v>23</v>
      </c>
      <c r="E5">
        <f>DATEVALUE("1/1/1931")</f>
        <v>11324</v>
      </c>
    </row>
    <row r="6" spans="1:5" x14ac:dyDescent="0.25">
      <c r="A6" s="1" t="s">
        <v>5</v>
      </c>
      <c r="C6" s="1" t="s">
        <v>24</v>
      </c>
    </row>
    <row r="7" spans="1:5" x14ac:dyDescent="0.25">
      <c r="A7" s="1" t="s">
        <v>6</v>
      </c>
      <c r="C7" s="1" t="s">
        <v>25</v>
      </c>
      <c r="E7" t="str">
        <f>"1 1/0"</f>
        <v>1 1/0</v>
      </c>
    </row>
    <row r="8" spans="1:5" x14ac:dyDescent="0.25">
      <c r="A8" s="1" t="s">
        <v>7</v>
      </c>
      <c r="C8" s="1" t="s">
        <v>26</v>
      </c>
    </row>
    <row r="9" spans="1:5" x14ac:dyDescent="0.25">
      <c r="A9" s="1" t="s">
        <v>8</v>
      </c>
      <c r="C9" s="1" t="s">
        <v>27</v>
      </c>
      <c r="E9">
        <f>COUNTA({"1/1/99","x"})</f>
        <v>2</v>
      </c>
    </row>
    <row r="10" spans="1:5" x14ac:dyDescent="0.25">
      <c r="A10" s="1" t="s">
        <v>9</v>
      </c>
      <c r="C10" s="1" t="s">
        <v>28</v>
      </c>
    </row>
    <row r="11" spans="1:5" x14ac:dyDescent="0.25">
      <c r="A11" s="1" t="s">
        <v>10</v>
      </c>
      <c r="C11" s="1" t="s">
        <v>29</v>
      </c>
      <c r="E11" t="str">
        <f>"123"</f>
        <v>123</v>
      </c>
    </row>
    <row r="12" spans="1:5" x14ac:dyDescent="0.25">
      <c r="A12" s="1" t="s">
        <v>11</v>
      </c>
      <c r="C12" s="1" t="s">
        <v>30</v>
      </c>
    </row>
    <row r="13" spans="1:5" x14ac:dyDescent="0.25">
      <c r="A13" s="1" t="s">
        <v>12</v>
      </c>
      <c r="C13" s="1" t="s">
        <v>31</v>
      </c>
    </row>
    <row r="14" spans="1:5" x14ac:dyDescent="0.25">
      <c r="A14" s="1" t="s">
        <v>13</v>
      </c>
      <c r="C14" s="1" t="s">
        <v>32</v>
      </c>
    </row>
    <row r="15" spans="1:5" x14ac:dyDescent="0.25">
      <c r="A15" s="1" t="s">
        <v>14</v>
      </c>
      <c r="C15" s="1" t="s">
        <v>33</v>
      </c>
    </row>
    <row r="16" spans="1:5" x14ac:dyDescent="0.25">
      <c r="A16" s="1" t="s">
        <v>15</v>
      </c>
      <c r="C16" s="1" t="s">
        <v>34</v>
      </c>
    </row>
    <row r="17" spans="1:3" x14ac:dyDescent="0.25">
      <c r="A17" s="1" t="s">
        <v>16</v>
      </c>
      <c r="C17" s="1" t="s">
        <v>35</v>
      </c>
    </row>
    <row r="18" spans="1:3" x14ac:dyDescent="0.25">
      <c r="A18" s="1" t="s">
        <v>17</v>
      </c>
      <c r="C18" s="1" t="s">
        <v>36</v>
      </c>
    </row>
    <row r="19" spans="1:3" x14ac:dyDescent="0.25">
      <c r="A19" s="1" t="s">
        <v>18</v>
      </c>
      <c r="C19" s="1" t="s">
        <v>37</v>
      </c>
    </row>
    <row r="20" spans="1:3" x14ac:dyDescent="0.25">
      <c r="C20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9756-5EE7-49D0-A5EC-048CAE472135}">
  <dimension ref="A1:Z17"/>
  <sheetViews>
    <sheetView workbookViewId="0"/>
  </sheetViews>
  <sheetFormatPr defaultRowHeight="15" x14ac:dyDescent="0.25"/>
  <cols>
    <col min="24" max="24" width="9.42578125" bestFit="1" customWidth="1"/>
  </cols>
  <sheetData>
    <row r="1" spans="1:26" x14ac:dyDescent="0.25">
      <c r="A1" t="e">
        <f>1/0</f>
        <v>#DIV/0!</v>
      </c>
      <c r="C1" s="2">
        <f>1+1</f>
        <v>2</v>
      </c>
      <c r="E1" s="5">
        <f>X1</f>
        <v>45000</v>
      </c>
      <c r="X1" s="3">
        <v>45000</v>
      </c>
    </row>
    <row r="2" spans="1:26" x14ac:dyDescent="0.25">
      <c r="X2">
        <v>5</v>
      </c>
    </row>
    <row r="3" spans="1:26" x14ac:dyDescent="0.25">
      <c r="A3" t="e">
        <f>NA()</f>
        <v>#N/A</v>
      </c>
      <c r="C3" s="2">
        <v>5</v>
      </c>
      <c r="E3" s="5">
        <f>+X1</f>
        <v>45000</v>
      </c>
      <c r="X3" s="4">
        <v>7</v>
      </c>
    </row>
    <row r="5" spans="1:26" x14ac:dyDescent="0.25">
      <c r="A5" t="e">
        <f>#N/A</f>
        <v>#N/A</v>
      </c>
      <c r="C5">
        <f>1+1</f>
        <v>2</v>
      </c>
      <c r="E5" s="5">
        <f>(X1)</f>
        <v>45000</v>
      </c>
    </row>
    <row r="7" spans="1:26" x14ac:dyDescent="0.25">
      <c r="A7" t="e">
        <f>IF(TRUE,NA(),1)</f>
        <v>#N/A</v>
      </c>
      <c r="E7" s="3">
        <f>X2</f>
        <v>5</v>
      </c>
    </row>
    <row r="9" spans="1:26" x14ac:dyDescent="0.25">
      <c r="A9" t="e">
        <f>VLOOKUP(99,Z10:Z11,1,FALSE)</f>
        <v>#N/A</v>
      </c>
      <c r="E9" s="3">
        <f>X3</f>
        <v>7</v>
      </c>
    </row>
    <row r="10" spans="1:26" x14ac:dyDescent="0.25">
      <c r="Z10">
        <v>1</v>
      </c>
    </row>
    <row r="11" spans="1:26" x14ac:dyDescent="0.25">
      <c r="A11" t="e">
        <f>IFERROR(1/0,NA())</f>
        <v>#N/A</v>
      </c>
      <c r="E11" s="6">
        <f>-X1</f>
        <v>-45000</v>
      </c>
      <c r="Z11">
        <v>2</v>
      </c>
    </row>
    <row r="13" spans="1:26" x14ac:dyDescent="0.25">
      <c r="A13" t="e">
        <f>NameNA</f>
        <v>#N/A</v>
      </c>
      <c r="E13" s="7">
        <f>X1</f>
        <v>45000</v>
      </c>
    </row>
    <row r="15" spans="1:26" x14ac:dyDescent="0.25">
      <c r="A15" t="e">
        <v>#N/A</v>
      </c>
      <c r="E15" s="5">
        <f>X1+0</f>
        <v>45000</v>
      </c>
    </row>
    <row r="17" spans="1:1" x14ac:dyDescent="0.25">
      <c r="A17" t="e">
        <f>IF(TRUE,1/0,NA())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CD4B-CCF0-41A4-8B06-299361710E54}">
  <dimension ref="A1:F23"/>
  <sheetViews>
    <sheetView workbookViewId="0"/>
  </sheetViews>
  <sheetFormatPr defaultRowHeight="15" x14ac:dyDescent="0.25"/>
  <sheetData>
    <row r="1" spans="1:6" x14ac:dyDescent="0.25">
      <c r="A1">
        <v>1</v>
      </c>
      <c r="B1">
        <f>A1*2</f>
        <v>2</v>
      </c>
      <c r="D1">
        <f>A1*2</f>
        <v>2</v>
      </c>
    </row>
    <row r="2" spans="1:6" x14ac:dyDescent="0.25">
      <c r="A2">
        <v>2</v>
      </c>
      <c r="B2">
        <f>A2*2</f>
        <v>4</v>
      </c>
      <c r="D2">
        <f>A2 *2</f>
        <v>4</v>
      </c>
    </row>
    <row r="3" spans="1:6" x14ac:dyDescent="0.25">
      <c r="A3">
        <v>3</v>
      </c>
      <c r="B3">
        <f>A3*3</f>
        <v>9</v>
      </c>
      <c r="D3">
        <f>A3*2</f>
        <v>6</v>
      </c>
    </row>
    <row r="4" spans="1:6" x14ac:dyDescent="0.25">
      <c r="A4">
        <v>4</v>
      </c>
      <c r="B4">
        <f>A4*2</f>
        <v>8</v>
      </c>
    </row>
    <row r="5" spans="1:6" x14ac:dyDescent="0.25">
      <c r="A5">
        <v>5</v>
      </c>
      <c r="B5">
        <f>A5*2</f>
        <v>10</v>
      </c>
    </row>
    <row r="8" spans="1:6" x14ac:dyDescent="0.25">
      <c r="A8">
        <v>1</v>
      </c>
      <c r="B8">
        <v>2</v>
      </c>
      <c r="C8">
        <v>3</v>
      </c>
      <c r="D8">
        <v>4</v>
      </c>
      <c r="E8">
        <v>5</v>
      </c>
    </row>
    <row r="9" spans="1:6" x14ac:dyDescent="0.25">
      <c r="A9">
        <f>A8*2</f>
        <v>2</v>
      </c>
      <c r="B9">
        <f>B8*2</f>
        <v>4</v>
      </c>
      <c r="C9">
        <f>C8*3</f>
        <v>9</v>
      </c>
      <c r="D9">
        <f>D8*2</f>
        <v>8</v>
      </c>
      <c r="E9">
        <f>E8*2</f>
        <v>10</v>
      </c>
    </row>
    <row r="12" spans="1:6" x14ac:dyDescent="0.25">
      <c r="A12">
        <v>12</v>
      </c>
      <c r="B12">
        <f>SUM(A12:A14)</f>
        <v>39</v>
      </c>
    </row>
    <row r="13" spans="1:6" x14ac:dyDescent="0.25">
      <c r="A13">
        <v>13</v>
      </c>
      <c r="C13">
        <f>SUMIF(A12:A14,"&gt;0")</f>
        <v>39</v>
      </c>
    </row>
    <row r="14" spans="1:6" x14ac:dyDescent="0.25">
      <c r="A14">
        <v>14</v>
      </c>
      <c r="D14">
        <f>SUM(A$12:A$14)</f>
        <v>39</v>
      </c>
    </row>
    <row r="15" spans="1:6" x14ac:dyDescent="0.25">
      <c r="A15">
        <v>15</v>
      </c>
      <c r="E15">
        <f>SUM(A12:A14)+A15</f>
        <v>54</v>
      </c>
    </row>
    <row r="16" spans="1:6" x14ac:dyDescent="0.25">
      <c r="F16">
        <f>SUM(A12:A14)+Four</f>
        <v>54</v>
      </c>
    </row>
    <row r="20" spans="1:2" x14ac:dyDescent="0.25">
      <c r="A20">
        <v>1</v>
      </c>
      <c r="B20">
        <f>SUM(A20:A22)</f>
        <v>4</v>
      </c>
    </row>
    <row r="21" spans="1:2" x14ac:dyDescent="0.25">
      <c r="A21" s="1" t="s">
        <v>39</v>
      </c>
    </row>
    <row r="22" spans="1:2" x14ac:dyDescent="0.25">
      <c r="A22">
        <v>3</v>
      </c>
    </row>
    <row r="23" spans="1:2" x14ac:dyDescent="0.25">
      <c r="A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A2C5-6E6E-4A80-BF2B-E4F916AF7791}">
  <dimension ref="A1:AA42"/>
  <sheetViews>
    <sheetView workbookViewId="0"/>
  </sheetViews>
  <sheetFormatPr defaultRowHeight="15" x14ac:dyDescent="0.25"/>
  <sheetData>
    <row r="1" spans="1:5" x14ac:dyDescent="0.25">
      <c r="A1">
        <f>Y100</f>
        <v>0</v>
      </c>
    </row>
    <row r="3" spans="1:5" x14ac:dyDescent="0.25">
      <c r="A3">
        <f>SUM(Y1:Y2)</f>
        <v>0</v>
      </c>
    </row>
    <row r="5" spans="1:5" x14ac:dyDescent="0.25">
      <c r="A5">
        <f>SUM(C:C)</f>
        <v>120</v>
      </c>
      <c r="C5">
        <v>5</v>
      </c>
      <c r="E5">
        <f>SUM(C5:C9)</f>
        <v>28</v>
      </c>
    </row>
    <row r="6" spans="1:5" x14ac:dyDescent="0.25">
      <c r="C6">
        <v>6</v>
      </c>
    </row>
    <row r="8" spans="1:5" x14ac:dyDescent="0.25">
      <c r="C8">
        <v>8</v>
      </c>
    </row>
    <row r="9" spans="1:5" x14ac:dyDescent="0.25">
      <c r="C9">
        <v>9</v>
      </c>
    </row>
    <row r="21" spans="3:27" x14ac:dyDescent="0.25">
      <c r="C21">
        <v>21</v>
      </c>
      <c r="E21">
        <f>SUM(C21:C25)</f>
        <v>92</v>
      </c>
    </row>
    <row r="22" spans="3:27" x14ac:dyDescent="0.25">
      <c r="C22">
        <v>22</v>
      </c>
    </row>
    <row r="23" spans="3:27" x14ac:dyDescent="0.25">
      <c r="AA23">
        <v>1</v>
      </c>
    </row>
    <row r="24" spans="3:27" x14ac:dyDescent="0.25">
      <c r="C24">
        <v>24</v>
      </c>
    </row>
    <row r="25" spans="3:27" x14ac:dyDescent="0.25">
      <c r="C25">
        <v>25</v>
      </c>
    </row>
    <row r="40" spans="7:8" x14ac:dyDescent="0.25">
      <c r="G40">
        <f>SUM(H40:H45)</f>
        <v>123</v>
      </c>
      <c r="H40">
        <v>40</v>
      </c>
    </row>
    <row r="41" spans="7:8" x14ac:dyDescent="0.25">
      <c r="H41">
        <v>41</v>
      </c>
    </row>
    <row r="42" spans="7:8" x14ac:dyDescent="0.25">
      <c r="H42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E289-76D7-4220-BBC8-047F5E223DDA}">
  <dimension ref="A1:K30"/>
  <sheetViews>
    <sheetView tabSelected="1" workbookViewId="0">
      <selection activeCell="B30" sqref="B30"/>
    </sheetView>
  </sheetViews>
  <sheetFormatPr defaultRowHeight="15" x14ac:dyDescent="0.25"/>
  <sheetData>
    <row r="1" spans="1:11" x14ac:dyDescent="0.25">
      <c r="A1" t="s">
        <v>40</v>
      </c>
      <c r="B1" t="s">
        <v>41</v>
      </c>
      <c r="C1" t="s">
        <v>42</v>
      </c>
      <c r="D1" t="s">
        <v>43</v>
      </c>
      <c r="K1" t="s">
        <v>39</v>
      </c>
    </row>
    <row r="2" spans="1:11" x14ac:dyDescent="0.25">
      <c r="A2">
        <v>2</v>
      </c>
      <c r="B2">
        <v>20</v>
      </c>
      <c r="C2">
        <f>Checked[[#This Row],[a]]*2</f>
        <v>4</v>
      </c>
      <c r="D2" t="s">
        <v>39</v>
      </c>
      <c r="G2">
        <v>500</v>
      </c>
      <c r="K2">
        <v>7</v>
      </c>
    </row>
    <row r="3" spans="1:11" x14ac:dyDescent="0.25">
      <c r="A3">
        <v>3</v>
      </c>
      <c r="B3">
        <v>30</v>
      </c>
      <c r="C3">
        <f>Checked[[#This Row],[a]]*2</f>
        <v>6</v>
      </c>
      <c r="D3" t="s">
        <v>44</v>
      </c>
      <c r="K3" t="b">
        <v>1</v>
      </c>
    </row>
    <row r="4" spans="1:11" x14ac:dyDescent="0.25">
      <c r="A4">
        <v>4</v>
      </c>
      <c r="B4">
        <v>500</v>
      </c>
      <c r="C4">
        <v>7</v>
      </c>
      <c r="D4" t="s">
        <v>45</v>
      </c>
    </row>
    <row r="5" spans="1:11" x14ac:dyDescent="0.25">
      <c r="A5">
        <v>5</v>
      </c>
      <c r="B5">
        <v>50</v>
      </c>
      <c r="C5">
        <f>Checked[[#This Row],[a]]*3</f>
        <v>15</v>
      </c>
    </row>
    <row r="6" spans="1:11" x14ac:dyDescent="0.25">
      <c r="A6">
        <v>6</v>
      </c>
      <c r="B6">
        <v>60</v>
      </c>
      <c r="C6">
        <f>Checked[[#This Row],[a]]*3</f>
        <v>18</v>
      </c>
    </row>
    <row r="10" spans="1:11" x14ac:dyDescent="0.25">
      <c r="A10" t="s">
        <v>46</v>
      </c>
      <c r="B10" t="s">
        <v>47</v>
      </c>
    </row>
    <row r="11" spans="1:11" x14ac:dyDescent="0.25">
      <c r="A11">
        <v>0</v>
      </c>
      <c r="B11">
        <v>5</v>
      </c>
    </row>
    <row r="12" spans="1:11" x14ac:dyDescent="0.25">
      <c r="A12">
        <v>1</v>
      </c>
      <c r="B12" s="1" t="s">
        <v>48</v>
      </c>
    </row>
    <row r="13" spans="1:11" x14ac:dyDescent="0.25">
      <c r="A13">
        <v>2</v>
      </c>
      <c r="B13">
        <v>5.5</v>
      </c>
    </row>
    <row r="14" spans="1:11" x14ac:dyDescent="0.25">
      <c r="A14">
        <v>3</v>
      </c>
      <c r="B14" t="b">
        <v>1</v>
      </c>
    </row>
    <row r="15" spans="1:11" x14ac:dyDescent="0.25">
      <c r="A15">
        <v>4</v>
      </c>
      <c r="B15" t="s">
        <v>49</v>
      </c>
    </row>
    <row r="16" spans="1:11" x14ac:dyDescent="0.25">
      <c r="A16">
        <v>5</v>
      </c>
      <c r="B16" t="s">
        <v>50</v>
      </c>
    </row>
    <row r="17" spans="1:2" x14ac:dyDescent="0.25">
      <c r="A17">
        <v>6</v>
      </c>
      <c r="B17" t="s">
        <v>44</v>
      </c>
    </row>
    <row r="18" spans="1:2" x14ac:dyDescent="0.25">
      <c r="A18">
        <v>7</v>
      </c>
      <c r="B18" s="1" t="s">
        <v>51</v>
      </c>
    </row>
    <row r="19" spans="1:2" x14ac:dyDescent="0.25">
      <c r="A19">
        <v>8</v>
      </c>
      <c r="B19" t="b">
        <v>1</v>
      </c>
    </row>
    <row r="20" spans="1:2" x14ac:dyDescent="0.25">
      <c r="A20">
        <v>9</v>
      </c>
      <c r="B20">
        <v>43831.5</v>
      </c>
    </row>
    <row r="21" spans="1:2" x14ac:dyDescent="0.25">
      <c r="A21">
        <v>10</v>
      </c>
      <c r="B21">
        <v>44197</v>
      </c>
    </row>
    <row r="22" spans="1:2" x14ac:dyDescent="0.25">
      <c r="A22">
        <v>11</v>
      </c>
      <c r="B22">
        <v>0.5</v>
      </c>
    </row>
    <row r="23" spans="1:2" x14ac:dyDescent="0.25">
      <c r="A23">
        <v>12</v>
      </c>
      <c r="B23">
        <v>45000.5</v>
      </c>
    </row>
    <row r="24" spans="1:2" x14ac:dyDescent="0.25">
      <c r="A24">
        <v>13</v>
      </c>
      <c r="B24" t="b">
        <v>1</v>
      </c>
    </row>
    <row r="25" spans="1:2" x14ac:dyDescent="0.25">
      <c r="A25">
        <v>14</v>
      </c>
      <c r="B25">
        <v>12345</v>
      </c>
    </row>
    <row r="26" spans="1:2" x14ac:dyDescent="0.25">
      <c r="A26">
        <v>15</v>
      </c>
      <c r="B26">
        <v>1.5</v>
      </c>
    </row>
    <row r="27" spans="1:2" x14ac:dyDescent="0.25">
      <c r="A27">
        <v>16</v>
      </c>
      <c r="B27">
        <v>-5</v>
      </c>
    </row>
    <row r="28" spans="1:2" x14ac:dyDescent="0.25">
      <c r="A28">
        <v>17</v>
      </c>
      <c r="B28" t="s">
        <v>14</v>
      </c>
    </row>
    <row r="29" spans="1:2" x14ac:dyDescent="0.25">
      <c r="A29">
        <v>18</v>
      </c>
      <c r="B29">
        <v>1</v>
      </c>
    </row>
    <row r="30" spans="1:2" x14ac:dyDescent="0.25">
      <c r="A30">
        <v>19</v>
      </c>
      <c r="B30">
        <v>1</v>
      </c>
    </row>
  </sheetData>
  <dataValidations count="12">
    <dataValidation type="whole" allowBlank="1" showInputMessage="1" showErrorMessage="1" sqref="B2:B6 G2" xr:uid="{88C5CCFA-5248-4DDC-93BC-82F06D8492C2}">
      <formula1>1</formula1>
      <formula2>100</formula2>
    </dataValidation>
    <dataValidation type="list" allowBlank="1" showInputMessage="1" showErrorMessage="1" sqref="D2:D5" xr:uid="{E1BB693D-F940-4F64-9C35-B41C59A0321F}">
      <formula1>"x,y"</formula1>
    </dataValidation>
    <dataValidation type="list" showInputMessage="1" showErrorMessage="1" sqref="D6" xr:uid="{CD2567B9-ADFD-456F-A7C3-C25F3BD165A2}">
      <formula1>"x,y"</formula1>
    </dataValidation>
    <dataValidation type="whole" allowBlank="1" showInputMessage="1" showErrorMessage="1" sqref="B11 B12 B13 B14" xr:uid="{27AF3614-D944-4A80-A62C-085245B9B436}">
      <formula1>1</formula1>
      <formula2>10</formula2>
    </dataValidation>
    <dataValidation type="list" allowBlank="1" showInputMessage="1" showErrorMessage="1" sqref="B15 B16" xr:uid="{78558E79-A54E-4580-9409-6F21B52D0D4E}">
      <formula1>"a,b,c"</formula1>
    </dataValidation>
    <dataValidation type="list" allowBlank="1" showInputMessage="1" showErrorMessage="1" sqref="B17 B18 B19" xr:uid="{22B07711-FE9F-4BC4-97C4-574F6B213216}">
      <formula1>$K$1:$K$3</formula1>
    </dataValidation>
    <dataValidation type="date" allowBlank="1" showInputMessage="1" showErrorMessage="1" sqref="B20 B21" xr:uid="{70CCC82D-BFBB-4131-9609-4ED325493233}">
      <formula1>43831</formula1>
      <formula2>44196</formula2>
    </dataValidation>
    <dataValidation type="time" allowBlank="1" showInputMessage="1" showErrorMessage="1" sqref="B22 B23" xr:uid="{04635D46-808D-4264-8718-EEDC42539F5A}">
      <formula1>0.375</formula1>
      <formula2>0.708333333333333</formula2>
    </dataValidation>
    <dataValidation type="textLength" allowBlank="1" showInputMessage="1" showErrorMessage="1" sqref="B24 B25 B26" xr:uid="{F4BB97BD-C0B1-4517-8A71-547B8DDCEA83}">
      <formula1>2</formula1>
      <formula2>4</formula2>
    </dataValidation>
    <dataValidation type="custom" allowBlank="1" showInputMessage="1" showErrorMessage="1" sqref="B27 B28" xr:uid="{84DC109C-316D-4ABD-A5AF-2D9A7E666441}">
      <formula1>B27&gt;0</formula1>
    </dataValidation>
    <dataValidation type="custom" allowBlank="1" showInputMessage="1" showErrorMessage="1" sqref="B29" xr:uid="{A175A21C-D25C-4C33-89B8-B353F96C1C20}">
      <formula1>5</formula1>
    </dataValidation>
    <dataValidation type="custom" allowBlank="1" showInputMessage="1" showErrorMessage="1" sqref="B30" xr:uid="{911864BF-E349-4923-847E-7C4A9B1F0503}">
      <formula1>FALSE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1AF9-33C3-4166-8CAC-AC8A2C5B63D7}">
  <dimension ref="B2:B7"/>
  <sheetViews>
    <sheetView workbookViewId="0"/>
  </sheetViews>
  <sheetFormatPr defaultRowHeight="15" x14ac:dyDescent="0.25"/>
  <sheetData>
    <row r="2" spans="2:2" x14ac:dyDescent="0.25">
      <c r="B2" s="1" t="s">
        <v>48</v>
      </c>
    </row>
    <row r="3" spans="2:2" x14ac:dyDescent="0.25">
      <c r="B3" s="1" t="s">
        <v>52</v>
      </c>
    </row>
    <row r="5" spans="2:2" x14ac:dyDescent="0.25">
      <c r="B5" t="e">
        <f>1/0</f>
        <v>#DIV/0!</v>
      </c>
    </row>
    <row r="7" spans="2:2" x14ac:dyDescent="0.25">
      <c r="B7" s="1" t="s">
        <v>19</v>
      </c>
    </row>
  </sheetData>
  <pageMargins left="0.7" right="0.7" top="0.75" bottom="0.75" header="0.3" footer="0.3"/>
  <ignoredErrors>
    <ignoredError sqref="B2:B3" numberStoredAsText="1"/>
    <ignoredError sqref="B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Text</vt:lpstr>
      <vt:lpstr>Values</vt:lpstr>
      <vt:lpstr>Regions</vt:lpstr>
      <vt:lpstr>Empty</vt:lpstr>
      <vt:lpstr>Tables</vt:lpstr>
      <vt:lpstr>Ignored</vt:lpstr>
      <vt:lpstr>Four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2026-09-26T05:17:20Z</dcterms:created>
  <dcterms:modified xsi:type="dcterms:W3CDTF">2026-09-26T05:17:21Z</dcterms:modified>
</cp:coreProperties>
</file>
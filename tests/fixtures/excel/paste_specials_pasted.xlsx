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codeName="ThisWorkbook" defaultThemeVersion="202300"/>
  <xr:revisionPtr revIDLastSave="0" documentId="8_{2C001038-5C55-4C2B-86F3-B70F003E9C90}" xr6:coauthVersionLast="47" xr6:coauthVersionMax="47" xr10:uidLastSave="{00000000-0000-0000-0000-000000000000}"/>
  <bookViews>
    <workbookView xWindow="-120" yWindow="-120" windowWidth="9840" windowHeight="6720" firstSheet="83" activeTab="83" xr2:uid="{AA29AD23-CBDB-43AF-8C04-921609151AAF}"/>
  </bookViews>
  <sheets>
    <sheet name="Other" sheetId="1" r:id="rId1"/>
    <sheet name="Jan" sheetId="2" r:id="rId2"/>
    <sheet name="Mar" sheetId="3" r:id="rId3"/>
    <sheet name="All" sheetId="4" r:id="rId4"/>
    <sheet name="Formulas" sheetId="5" r:id="rId5"/>
    <sheet name="Values" sheetId="6" r:id="rId6"/>
    <sheet name="Formats" sheetId="7" r:id="rId7"/>
    <sheet name="Comments" sheetId="8" r:id="rId8"/>
    <sheet name="Validation" sheetId="9" r:id="rId9"/>
    <sheet name="NoBorders" sheetId="10" r:id="rId10"/>
    <sheet name="Widths" sheetId="11" r:id="rId11"/>
    <sheet name="FormulasNumbers" sheetId="12" r:id="rId12"/>
    <sheet name="ValuesNumbers" sheetId="13" r:id="rId13"/>
    <sheet name="MergingCF" sheetId="14" r:id="rId14"/>
    <sheet name="SkipBlanks" sheetId="15" r:id="rId15"/>
    <sheet name="Transpose" sheetId="16" r:id="rId16"/>
    <sheet name="Add" sheetId="17" r:id="rId17"/>
    <sheet name="Subtract" sheetId="18" r:id="rId18"/>
    <sheet name="Multiply" sheetId="19" r:id="rId19"/>
    <sheet name="Divide" sheetId="20" r:id="rId20"/>
    <sheet name="AllAdd" sheetId="21" r:id="rId21"/>
    <sheet name="BlankKinds" sheetId="22" r:id="rId22"/>
    <sheet name="FormatsPlain" sheetId="23" r:id="rId23"/>
    <sheet name="ValuesMerged" sheetId="24" r:id="rId24"/>
    <sheet name="ValuesMergeRefused" sheetId="25" r:id="rId25"/>
    <sheet name="NumbersMerged" sheetId="26" r:id="rId26"/>
    <sheet name="FormulasMerged" sheetId="27" r:id="rId27"/>
    <sheet name="ValuesArrays" sheetId="28" r:id="rId28"/>
    <sheet name="FormulasArrays" sheetId="29" r:id="rId29"/>
    <sheet name="ArrayWhole" sheetId="30" r:id="rId30"/>
    <sheet name="ArrayPart" sheetId="31" r:id="rId31"/>
    <sheet name="FormatsArrayPart" sheetId="32" r:id="rId32"/>
    <sheet name="NumberFormats" sheetId="33" r:id="rId33"/>
    <sheet name="BesideCF" sheetId="34" r:id="rId34"/>
    <sheet name="SkipLayers" sheetId="35" r:id="rId35"/>
    <sheet name="SkipLinks" sheetId="36" r:id="rId36"/>
    <sheet name="SkipMerged" sheetId="37" r:id="rId37"/>
    <sheet name="SkipFormats" sheetId="38" r:id="rId38"/>
    <sheet name="SkipRules" sheetId="39" r:id="rId39"/>
    <sheet name="SkipNotes" sheetId="40" r:id="rId40"/>
    <sheet name="SkipValues" sheetId="41" r:id="rId41"/>
    <sheet name="TransposeIn" sheetId="42" r:id="rId42"/>
    <sheet name="TransposeMore" sheetId="43" r:id="rId43"/>
    <sheet name="TransposeOff" sheetId="44" r:id="rId44"/>
    <sheet name="TransposeMeet" sheetId="45" r:id="rId45"/>
    <sheet name="TransposeAway" sheetId="46" r:id="rId46"/>
    <sheet name="TransposeRules" sheetId="47" r:id="rId47"/>
    <sheet name="TransposeArray" sheetId="48" r:id="rId48"/>
    <sheet name="TransposeSpill" sheetId="49" r:id="rId49"/>
    <sheet name="TransposeTiles" sheetId="50" r:id="rId50"/>
    <sheet name="TransposeOverlap" sheetId="51" r:id="rId51"/>
    <sheet name="TransposeSquare" sheetId="52" r:id="rId52"/>
    <sheet name="OpThere" sheetId="53" r:id="rId53"/>
    <sheet name="OpThereAll" sheetId="54" r:id="rId54"/>
    <sheet name="OpComing" sheetId="55" r:id="rId55"/>
    <sheet name="OpComingAll" sheetId="56" r:id="rId56"/>
    <sheet name="OpFloats" sheetId="57" r:id="rId57"/>
    <sheet name="OpFormulas" sheetId="58" r:id="rId58"/>
    <sheet name="OpFormulasSubtract" sheetId="59" r:id="rId59"/>
    <sheet name="OpNumbers" sheetId="60" r:id="rId60"/>
    <sheet name="OpNumbersComing" sheetId="61" r:id="rId61"/>
    <sheet name="OpText" sheetId="62" r:id="rId62"/>
    <sheet name="OpBlanks" sheetId="63" r:id="rId63"/>
    <sheet name="OpArrays" sheetId="64" r:id="rId64"/>
    <sheet name="OpOntoArray" sheetId="65" r:id="rId65"/>
    <sheet name="OpOverflow" sheetId="66" r:id="rId66"/>
    <sheet name="OpTransposed" sheetId="67" r:id="rId67"/>
    <sheet name="RowsFormats" sheetId="68" r:id="rId68"/>
    <sheet name="RowsValues" sheetId="69" r:id="rId69"/>
    <sheet name="RowsNoBorders" sheetId="70" r:id="rId70"/>
    <sheet name="ColumnsValues" sheetId="71" r:id="rId71"/>
    <sheet name="ColumnsFormats" sheetId="72" r:id="rId72"/>
    <sheet name="ColumnsWidths" sheetId="73" r:id="rId73"/>
    <sheet name="ColumnFormatCells" sheetId="74" r:id="rId74"/>
    <sheet name="RowFormatCells" sheetId="75" r:id="rId75"/>
    <sheet name="BlankStyles" sheetId="76" r:id="rId76"/>
    <sheet name="ColumnsStyled" sheetId="77" r:id="rId77"/>
    <sheet name="WidthsHidden" sheetId="78" r:id="rId78"/>
    <sheet name="LinksStay" sheetId="79" r:id="rId79"/>
    <sheet name="PasteLink" sheetId="80" r:id="rId80"/>
    <sheet name="LinkOver" sheetId="81" r:id="rId81"/>
    <sheet name="LinkTiles" sheetId="82" r:id="rId82"/>
    <sheet name="LinkFiltered" sheetId="83" r:id="rId83"/>
    <sheet name="LinkMerged" sheetId="84" r:id="rId84"/>
    <sheet name="FilterValues" sheetId="85" r:id="rId85"/>
    <sheet name="TileValues" sheetId="86" r:id="rId86"/>
    <sheet name="TableValues" sheetId="87" r:id="rId87"/>
    <sheet name="ShapeValues" sheetId="88" r:id="rId88"/>
    <sheet name="ShapeFormats" sheetId="89" r:id="rId89"/>
    <sheet name="FormatsMergeAnchor" sheetId="90" r:id="rId90"/>
    <sheet name="CommentsMerged" sheetId="91" r:id="rId91"/>
  </sheets>
  <definedNames>
    <definedName name="_xlnm._FilterDatabase" localSheetId="84" hidden="1">FilterValues!$A$1:$A$6</definedName>
    <definedName name="_xlnm._FilterDatabase" localSheetId="82" hidden="1">LinkFiltered!$A$1:$A$6</definedName>
    <definedName name="Rate">Other!$D$6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" i="64" l="1"/>
  <c r="E2" i="64"/>
  <c r="F1" i="64"/>
  <c r="E1" i="64"/>
  <c r="G2" i="63"/>
  <c r="E2" i="63"/>
  <c r="G1" i="63"/>
  <c r="E1" i="63"/>
  <c r="A6" i="62"/>
  <c r="E5" i="62"/>
  <c r="A5" i="62"/>
  <c r="E4" i="62"/>
  <c r="A4" i="62"/>
  <c r="E2" i="62"/>
  <c r="E1" i="62"/>
  <c r="E10" i="61"/>
  <c r="E9" i="61"/>
  <c r="E8" i="61"/>
  <c r="E7" i="61"/>
  <c r="E6" i="61"/>
  <c r="E5" i="61"/>
  <c r="E4" i="61"/>
  <c r="E3" i="61"/>
  <c r="E2" i="61"/>
  <c r="E1" i="61"/>
  <c r="E40" i="60"/>
  <c r="A40" i="60"/>
  <c r="E39" i="60"/>
  <c r="A39" i="60"/>
  <c r="E38" i="60"/>
  <c r="A38" i="60"/>
  <c r="E37" i="60"/>
  <c r="A37" i="60"/>
  <c r="E36" i="60"/>
  <c r="A36" i="60"/>
  <c r="E35" i="60"/>
  <c r="A35" i="60"/>
  <c r="E34" i="60"/>
  <c r="A34" i="60"/>
  <c r="E33" i="60"/>
  <c r="A33" i="60"/>
  <c r="E32" i="60"/>
  <c r="A32" i="60"/>
  <c r="E31" i="60"/>
  <c r="A31" i="60"/>
  <c r="E30" i="60"/>
  <c r="A30" i="60"/>
  <c r="E29" i="60"/>
  <c r="A29" i="60"/>
  <c r="E28" i="60"/>
  <c r="A28" i="60"/>
  <c r="E27" i="60"/>
  <c r="A27" i="60"/>
  <c r="E26" i="60"/>
  <c r="A26" i="60"/>
  <c r="E25" i="60"/>
  <c r="A25" i="60"/>
  <c r="E24" i="60"/>
  <c r="A24" i="60"/>
  <c r="E23" i="60"/>
  <c r="A23" i="60"/>
  <c r="E22" i="60"/>
  <c r="A22" i="60"/>
  <c r="E21" i="60"/>
  <c r="A21" i="60"/>
  <c r="E20" i="60"/>
  <c r="A20" i="60"/>
  <c r="E19" i="60"/>
  <c r="A19" i="60"/>
  <c r="E18" i="60"/>
  <c r="A18" i="60"/>
  <c r="E17" i="60"/>
  <c r="A17" i="60"/>
  <c r="E16" i="60"/>
  <c r="A16" i="60"/>
  <c r="E15" i="60"/>
  <c r="A15" i="60"/>
  <c r="E14" i="60"/>
  <c r="A14" i="60"/>
  <c r="E13" i="60"/>
  <c r="A13" i="60"/>
  <c r="E12" i="60"/>
  <c r="A12" i="60"/>
  <c r="E11" i="60"/>
  <c r="A11" i="60"/>
  <c r="E10" i="60"/>
  <c r="A10" i="60"/>
  <c r="E9" i="60"/>
  <c r="A9" i="60"/>
  <c r="E8" i="60"/>
  <c r="A8" i="60"/>
  <c r="E7" i="60"/>
  <c r="A7" i="60"/>
  <c r="E6" i="60"/>
  <c r="A6" i="60"/>
  <c r="E5" i="60"/>
  <c r="A5" i="60"/>
  <c r="E4" i="60"/>
  <c r="A4" i="60"/>
  <c r="E3" i="60"/>
  <c r="A3" i="60"/>
  <c r="E2" i="60"/>
  <c r="A2" i="60"/>
  <c r="E1" i="60"/>
  <c r="A1" i="60"/>
  <c r="E3" i="59"/>
  <c r="A3" i="59"/>
  <c r="E2" i="59"/>
  <c r="A2" i="59"/>
  <c r="E1" i="59"/>
  <c r="A1" i="59"/>
  <c r="A12" i="58"/>
  <c r="E11" i="58"/>
  <c r="A11" i="58"/>
  <c r="A7" i="58"/>
  <c r="E6" i="58"/>
  <c r="A6" i="58"/>
  <c r="E5" i="58"/>
  <c r="A5" i="58"/>
  <c r="E4" i="58"/>
  <c r="A4" i="58"/>
  <c r="A3" i="58"/>
  <c r="E2" i="58"/>
  <c r="A2" i="58"/>
  <c r="E1" i="58"/>
  <c r="A1" i="58"/>
  <c r="E6" i="56"/>
  <c r="A6" i="56"/>
  <c r="A6" i="55"/>
  <c r="E6" i="54"/>
  <c r="E6" i="53"/>
  <c r="E1" i="84"/>
  <c r="C4" i="83"/>
  <c r="C1" i="83"/>
  <c r="G1" i="82"/>
  <c r="G2" i="82"/>
  <c r="G3" i="82"/>
  <c r="G4" i="82"/>
  <c r="E1" i="82"/>
  <c r="E2" i="82"/>
  <c r="E3" i="82"/>
  <c r="E1" i="81"/>
  <c r="F1" i="81"/>
  <c r="E2" i="81"/>
  <c r="F2" i="81"/>
  <c r="H1" i="80"/>
  <c r="A10" i="1"/>
  <c r="B10" i="1"/>
  <c r="A11" i="1"/>
  <c r="E1" i="80"/>
  <c r="F1" i="80"/>
  <c r="E2" i="80"/>
  <c r="E5" i="49" a="1"/>
  <c r="E1" i="48" a="1"/>
  <c r="G1" i="1"/>
  <c r="G1" i="46"/>
  <c r="F26" i="45"/>
  <c r="F2" i="44"/>
  <c r="D2" i="44"/>
  <c r="C2" i="44"/>
  <c r="B2" i="44"/>
  <c r="A2" i="44"/>
  <c r="A1" i="44" s="1"/>
  <c r="C1" i="44"/>
  <c r="B1" i="44"/>
  <c r="M16" i="43"/>
  <c r="L16" i="43"/>
  <c r="J16" i="43"/>
  <c r="I16" i="43"/>
  <c r="H16" i="43"/>
  <c r="G16" i="43"/>
  <c r="F16" i="43"/>
  <c r="E16" i="43"/>
  <c r="N15" i="43"/>
  <c r="M15" i="43"/>
  <c r="L15" i="43"/>
  <c r="K15" i="43"/>
  <c r="I15" i="43"/>
  <c r="H15" i="43"/>
  <c r="F15" i="43"/>
  <c r="E15" i="43"/>
  <c r="M13" i="42"/>
  <c r="L13" i="42"/>
  <c r="J13" i="42"/>
  <c r="I13" i="42"/>
  <c r="H13" i="42"/>
  <c r="G13" i="42"/>
  <c r="F13" i="42"/>
  <c r="E13" i="42"/>
  <c r="D13" i="42"/>
  <c r="G12" i="42"/>
  <c r="E2" i="33"/>
  <c r="H1" i="29" a="1"/>
  <c r="E1" i="29" a="1"/>
  <c r="F1" i="29" s="1" a="1"/>
  <c r="F4" i="21"/>
  <c r="F2" i="21"/>
  <c r="E2" i="21"/>
  <c r="G4" i="21" s="1"/>
  <c r="H2" i="16"/>
  <c r="F2" i="16"/>
  <c r="F1" i="16"/>
  <c r="H3" i="16" s="1"/>
  <c r="F4" i="15"/>
  <c r="F2" i="15"/>
  <c r="E2" i="15"/>
  <c r="G4" i="15" s="1"/>
  <c r="F4" i="14"/>
  <c r="F2" i="14"/>
  <c r="E2" i="14"/>
  <c r="G4" i="14" s="1"/>
  <c r="F4" i="12"/>
  <c r="F2" i="12"/>
  <c r="E2" i="12"/>
  <c r="G4" i="12" s="1"/>
  <c r="F4" i="10"/>
  <c r="F2" i="10"/>
  <c r="E2" i="10"/>
  <c r="G4" i="10" s="1"/>
  <c r="F4" i="5"/>
  <c r="F2" i="5"/>
  <c r="E2" i="5"/>
  <c r="G4" i="5" s="1"/>
  <c r="F4" i="4"/>
  <c r="F2" i="4"/>
  <c r="E2" i="4"/>
  <c r="G4" i="4" s="1"/>
  <c r="B2" i="80"/>
  <c r="E1" i="65" a="1"/>
  <c r="B1" i="64" a="1"/>
  <c r="A1" i="64" a="1"/>
  <c r="B2" i="52"/>
  <c r="A1" i="49" a="1"/>
  <c r="A1" i="48" a="1"/>
  <c r="A1" i="46"/>
  <c r="B21" i="45"/>
  <c r="C10" i="44"/>
  <c r="C8" i="44"/>
  <c r="C5" i="44"/>
  <c r="B5" i="44" s="1"/>
  <c r="B7" i="44"/>
  <c r="C11" i="43"/>
  <c r="C10" i="43"/>
  <c r="C8" i="43"/>
  <c r="C7" i="43"/>
  <c r="C6" i="43"/>
  <c r="C5" i="43"/>
  <c r="C4" i="43"/>
  <c r="C3" i="43"/>
  <c r="B12" i="43"/>
  <c r="B11" i="43"/>
  <c r="B10" i="43"/>
  <c r="B9" i="43"/>
  <c r="B7" i="43"/>
  <c r="B6" i="43"/>
  <c r="B4" i="43"/>
  <c r="B3" i="43"/>
  <c r="B10" i="42"/>
  <c r="B9" i="42"/>
  <c r="B6" i="42"/>
  <c r="B5" i="42"/>
  <c r="B4" i="42"/>
  <c r="B3" i="42"/>
  <c r="B2" i="42"/>
  <c r="B1" i="42"/>
  <c r="A4" i="42"/>
  <c r="A3" i="42"/>
  <c r="A2" i="42"/>
  <c r="A1" i="42"/>
  <c r="A3" i="41"/>
  <c r="A2" i="33"/>
  <c r="E1" i="32" a="1"/>
  <c r="E1" i="31" a="1"/>
  <c r="A1" i="29" a="1"/>
  <c r="B1" i="29" s="1" a="1"/>
  <c r="A1" i="28" a="1"/>
  <c r="B1" i="28" s="1" a="1"/>
  <c r="A4" i="22"/>
  <c r="A2" i="22"/>
  <c r="E3" i="21"/>
  <c r="C4" i="21"/>
  <c r="B4" i="21"/>
  <c r="B2" i="21"/>
  <c r="A2" i="21"/>
  <c r="E3" i="20"/>
  <c r="B4" i="20"/>
  <c r="B2" i="20"/>
  <c r="A2" i="20"/>
  <c r="C4" i="20" s="1"/>
  <c r="E3" i="19"/>
  <c r="C4" i="19"/>
  <c r="B4" i="19"/>
  <c r="B2" i="19"/>
  <c r="A2" i="19"/>
  <c r="E3" i="18"/>
  <c r="B4" i="18"/>
  <c r="B2" i="18"/>
  <c r="A2" i="18"/>
  <c r="C4" i="18" s="1"/>
  <c r="E3" i="17"/>
  <c r="B4" i="17"/>
  <c r="B2" i="17"/>
  <c r="A2" i="17"/>
  <c r="C4" i="17" s="1"/>
  <c r="B4" i="16"/>
  <c r="B2" i="16"/>
  <c r="A2" i="16"/>
  <c r="C4" i="16" s="1"/>
  <c r="B4" i="15"/>
  <c r="B2" i="15"/>
  <c r="A2" i="15"/>
  <c r="C4" i="15" s="1"/>
  <c r="B4" i="14"/>
  <c r="B2" i="14"/>
  <c r="A2" i="14"/>
  <c r="C4" i="14" s="1"/>
  <c r="C4" i="13"/>
  <c r="B4" i="13"/>
  <c r="B2" i="13"/>
  <c r="A2" i="13"/>
  <c r="B4" i="12"/>
  <c r="B2" i="12"/>
  <c r="A2" i="12"/>
  <c r="C4" i="12" s="1"/>
  <c r="E3" i="11"/>
  <c r="B4" i="11"/>
  <c r="B2" i="11"/>
  <c r="A2" i="11"/>
  <c r="C4" i="11" s="1"/>
  <c r="B4" i="10"/>
  <c r="B2" i="10"/>
  <c r="A2" i="10"/>
  <c r="C4" i="10" s="1"/>
  <c r="E3" i="9"/>
  <c r="B4" i="9"/>
  <c r="B2" i="9"/>
  <c r="A2" i="9"/>
  <c r="C4" i="9" s="1"/>
  <c r="E3" i="8"/>
  <c r="B4" i="8"/>
  <c r="B2" i="8"/>
  <c r="A2" i="8"/>
  <c r="C4" i="8" s="1"/>
  <c r="E3" i="7"/>
  <c r="C4" i="7"/>
  <c r="B4" i="7"/>
  <c r="B2" i="7"/>
  <c r="A2" i="7"/>
  <c r="B4" i="6"/>
  <c r="B2" i="6"/>
  <c r="A2" i="6"/>
  <c r="C4" i="6" s="1"/>
  <c r="B4" i="5"/>
  <c r="B2" i="5"/>
  <c r="A2" i="5"/>
  <c r="C4" i="5" s="1"/>
  <c r="B4" i="4"/>
  <c r="B2" i="4"/>
  <c r="A2" i="4"/>
  <c r="C4" i="4" s="1"/>
  <c r="B11" i="1" l="1"/>
  <c r="F2" i="80"/>
  <c r="B2" i="46"/>
  <c r="A3" i="46"/>
  <c r="B3" i="46"/>
  <c r="E2" i="31"/>
  <c r="E1" i="31"/>
  <c r="G1" i="48"/>
  <c r="F1" i="48"/>
  <c r="E1" i="48"/>
  <c r="I2" i="1"/>
  <c r="H2" i="1"/>
  <c r="I1" i="1"/>
  <c r="I2" i="46"/>
  <c r="H2" i="46"/>
  <c r="I1" i="46"/>
  <c r="D1" i="44"/>
  <c r="C6" i="44" s="1"/>
  <c r="E1" i="44"/>
  <c r="F1" i="44"/>
  <c r="E2" i="44"/>
  <c r="B6" i="44"/>
  <c r="C9" i="44" s="1"/>
  <c r="B9" i="44"/>
  <c r="F12" i="42"/>
  <c r="E12" i="42"/>
  <c r="D12" i="42"/>
  <c r="H2" i="29"/>
  <c r="H1" i="29"/>
  <c r="F1" i="29"/>
  <c r="F2" i="29"/>
  <c r="F3" i="29"/>
  <c r="E1" i="65"/>
  <c r="E2" i="65"/>
  <c r="A1" i="64"/>
  <c r="A2" i="64"/>
  <c r="A1" i="48"/>
  <c r="A2" i="48"/>
  <c r="A3" i="48"/>
  <c r="C7" i="44"/>
  <c r="B10" i="44"/>
  <c r="A6" i="42"/>
  <c r="A5" i="42"/>
  <c r="E1" i="32"/>
  <c r="E2" i="32"/>
  <c r="B1" i="29"/>
  <c r="B2" i="29"/>
  <c r="B3" i="29"/>
  <c r="B1" i="28"/>
  <c r="B2" i="28"/>
  <c r="B3" i="28"/>
  <c r="B8" i="44" l="1"/>
  <c r="K13" i="42"/>
  <c r="B8" i="42"/>
  <c r="B7" i="42"/>
  <c r="H12" i="42"/>
  <c r="M12" i="42" s="1"/>
  <c r="I12" i="42"/>
  <c r="A10" i="42"/>
  <c r="B5" i="43" l="1"/>
  <c r="G15" i="43"/>
  <c r="C12" i="43"/>
  <c r="C9" i="43"/>
  <c r="N16" i="43"/>
  <c r="J15" i="43"/>
  <c r="J12" i="42"/>
  <c r="K12" i="42"/>
  <c r="L12" i="42"/>
  <c r="A7" i="42"/>
  <c r="A2" i="46"/>
  <c r="A9" i="42"/>
  <c r="B3" i="45"/>
  <c r="B4" i="45"/>
  <c r="B5" i="45"/>
  <c r="A20" i="45"/>
  <c r="F25" i="45"/>
  <c r="H1" i="46"/>
  <c r="G2" i="46"/>
  <c r="E15" i="45"/>
  <c r="K16" i="43"/>
  <c r="B8" i="43"/>
  <c r="B1" i="46"/>
  <c r="A21" i="45"/>
  <c r="H1" i="1"/>
  <c r="B20" i="45"/>
  <c r="E25" i="45"/>
  <c r="G2" i="1"/>
  <c r="A8" i="42"/>
  <c r="F15" i="45"/>
  <c r="E16" i="45"/>
  <c r="C5" i="45"/>
  <c r="G16" i="45"/>
  <c r="C3" i="45"/>
  <c r="E26" i="45"/>
  <c r="C4" i="45"/>
  <c r="G15" i="45"/>
  <c r="F16" i="4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3" authorId="0" shapeId="0" xr:uid="{56603660-9871-4B93-9016-452E858A9309}">
      <text>
        <r>
          <rPr>
            <sz val="9"/>
            <color indexed="81"/>
            <rFont val="Tahoma"/>
            <family val="2"/>
          </rPr>
          <t>source note</t>
        </r>
      </text>
    </comment>
    <comment ref="E3" authorId="0" shapeId="0" xr:uid="{4275F702-7EFC-4B48-94F5-C770FB740D3B}">
      <text>
        <r>
          <rPr>
            <sz val="9"/>
            <color indexed="81"/>
            <rFont val="Tahoma"/>
            <family val="2"/>
          </rPr>
          <t>source note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1" authorId="0" shapeId="0" xr:uid="{B41615E2-570E-4176-BE58-021AF4707F73}">
      <text>
        <r>
          <rPr>
            <sz val="9"/>
            <color indexed="81"/>
            <rFont val="Tahoma"/>
            <family val="2"/>
          </rPr>
          <t>destination note</t>
        </r>
      </text>
    </comment>
    <comment ref="A3" authorId="0" shapeId="0" xr:uid="{4EA99BAC-CF63-4F82-8AB6-90748927DBA8}">
      <text>
        <r>
          <rPr>
            <sz val="9"/>
            <color indexed="81"/>
            <rFont val="Tahoma"/>
            <family val="2"/>
          </rPr>
          <t>source note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1" authorId="0" shapeId="0" xr:uid="{227A8BD9-F669-4ED8-8D74-05FFA5320BA6}">
      <text>
        <r>
          <rPr>
            <sz val="9"/>
            <color indexed="81"/>
            <rFont val="Tahoma"/>
            <family val="2"/>
          </rPr>
          <t>destination note</t>
        </r>
      </text>
    </comment>
    <comment ref="A3" authorId="0" shapeId="0" xr:uid="{177E9058-3200-4640-B639-991B69A65F05}">
      <text>
        <r>
          <rPr>
            <sz val="9"/>
            <color indexed="81"/>
            <rFont val="Tahoma"/>
            <family val="2"/>
          </rPr>
          <t>source note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1" authorId="0" shapeId="0" xr:uid="{2C26CBE4-2673-4881-AFF0-F7E53819CB1D}">
      <text>
        <r>
          <rPr>
            <sz val="9"/>
            <color indexed="81"/>
            <rFont val="Tahoma"/>
            <family val="2"/>
          </rPr>
          <t>destination note</t>
        </r>
      </text>
    </comment>
    <comment ref="A3" authorId="0" shapeId="0" xr:uid="{FB3F2515-218D-4253-9B6C-16523A120AB4}">
      <text>
        <r>
          <rPr>
            <sz val="9"/>
            <color indexed="81"/>
            <rFont val="Tahoma"/>
            <family val="2"/>
          </rPr>
          <t>source note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3" authorId="0" shapeId="0" xr:uid="{B761C650-32F3-4F42-8087-CD1920EFA036}">
      <text>
        <r>
          <rPr>
            <sz val="9"/>
            <color indexed="81"/>
            <rFont val="Tahoma"/>
            <family val="2"/>
          </rPr>
          <t>source note</t>
        </r>
      </text>
    </comment>
    <comment ref="E3" authorId="0" shapeId="0" xr:uid="{9F155501-BC0C-4A92-8278-A07D1279B29D}">
      <text>
        <r>
          <rPr>
            <sz val="9"/>
            <color indexed="81"/>
            <rFont val="Tahoma"/>
            <family val="2"/>
          </rPr>
          <t>source note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1" authorId="0" shapeId="0" xr:uid="{C3CC689A-0167-42A8-95D8-8A18D677229A}">
      <text>
        <r>
          <rPr>
            <sz val="9"/>
            <color indexed="81"/>
            <rFont val="Tahoma"/>
            <family val="2"/>
          </rPr>
          <t>destination note</t>
        </r>
      </text>
    </comment>
    <comment ref="A3" authorId="0" shapeId="0" xr:uid="{21B13A70-7A9F-4F88-B66D-550725B26C4A}">
      <text>
        <r>
          <rPr>
            <sz val="9"/>
            <color indexed="81"/>
            <rFont val="Tahoma"/>
            <family val="2"/>
          </rPr>
          <t>source note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3" authorId="0" shapeId="0" xr:uid="{EB0E8AD4-8E96-4CB9-894D-BB5FBF28D304}">
      <text>
        <r>
          <rPr>
            <sz val="9"/>
            <color indexed="81"/>
            <rFont val="Tahoma"/>
            <family val="2"/>
          </rPr>
          <t>source note</t>
        </r>
      </text>
    </comment>
    <comment ref="E3" authorId="0" shapeId="0" xr:uid="{BBF83693-22BE-43CC-8F9C-6A84488D23FE}">
      <text>
        <r>
          <rPr>
            <sz val="9"/>
            <color indexed="81"/>
            <rFont val="Tahoma"/>
            <family val="2"/>
          </rPr>
          <t>source note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3" authorId="0" shapeId="0" xr:uid="{1BEF3714-A9E6-479A-A068-52B4EA68DDBF}">
      <text>
        <r>
          <rPr>
            <sz val="9"/>
            <color indexed="81"/>
            <rFont val="Tahoma"/>
            <family val="2"/>
          </rPr>
          <t>source note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1" authorId="0" shapeId="0" xr:uid="{0F7CB4BB-C0ED-4B7C-B036-9D24527F7A34}">
      <text>
        <r>
          <rPr>
            <sz val="9"/>
            <color indexed="81"/>
            <rFont val="Tahoma"/>
            <family val="2"/>
          </rPr>
          <t>destination note</t>
        </r>
      </text>
    </comment>
    <comment ref="A3" authorId="0" shapeId="0" xr:uid="{6ADB1685-C0A1-48CA-B02D-B23180D8C594}">
      <text>
        <r>
          <rPr>
            <sz val="9"/>
            <color indexed="81"/>
            <rFont val="Tahoma"/>
            <family val="2"/>
          </rPr>
          <t>source note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1" authorId="0" shapeId="0" xr:uid="{1DE93133-F5DD-4B26-B03F-803A16AC3F80}">
      <text>
        <r>
          <rPr>
            <sz val="9"/>
            <color indexed="81"/>
            <rFont val="Tahoma"/>
            <family val="2"/>
          </rPr>
          <t>destination note</t>
        </r>
      </text>
    </comment>
    <comment ref="A3" authorId="0" shapeId="0" xr:uid="{D6740E9A-E063-4637-8FEA-C4FDD238871B}">
      <text>
        <r>
          <rPr>
            <sz val="9"/>
            <color indexed="81"/>
            <rFont val="Tahoma"/>
            <family val="2"/>
          </rPr>
          <t>source note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3" authorId="0" shapeId="0" xr:uid="{0FEB70D5-0908-4528-9546-FFE4E8BC96E6}">
      <text>
        <r>
          <rPr>
            <sz val="9"/>
            <color indexed="81"/>
            <rFont val="Tahoma"/>
            <family val="2"/>
          </rPr>
          <t>source note</t>
        </r>
      </text>
    </comment>
    <comment ref="E3" authorId="0" shapeId="0" xr:uid="{E7CC214A-92CB-414C-86CB-B6F4C2F8E923}">
      <text>
        <r>
          <rPr>
            <sz val="9"/>
            <color indexed="81"/>
            <rFont val="Tahoma"/>
            <family val="2"/>
          </rPr>
          <t>source note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1" authorId="0" shapeId="0" xr:uid="{817B3EF5-2A29-4480-BAD9-59CBDC4A8946}">
      <text>
        <r>
          <rPr>
            <sz val="9"/>
            <color indexed="81"/>
            <rFont val="Tahoma"/>
            <family val="2"/>
          </rPr>
          <t>destination note</t>
        </r>
      </text>
    </comment>
    <comment ref="A3" authorId="0" shapeId="0" xr:uid="{2DDA27CD-83A7-4A09-9241-D349FB36195E}">
      <text>
        <r>
          <rPr>
            <sz val="9"/>
            <color indexed="81"/>
            <rFont val="Tahoma"/>
            <family val="2"/>
          </rPr>
          <t>source note</t>
        </r>
      </text>
    </comment>
    <comment ref="E3" authorId="0" shapeId="0" xr:uid="{2EE7618C-0BA6-4760-AC07-5899FC30DC62}">
      <text>
        <r>
          <rPr>
            <sz val="9"/>
            <color indexed="81"/>
            <rFont val="Tahoma"/>
            <family val="2"/>
          </rPr>
          <t>source note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G1" authorId="0" shapeId="0" xr:uid="{FE7C74FE-3127-4277-B85B-28C2136A13BC}">
      <text>
        <r>
          <rPr>
            <sz val="9"/>
            <color indexed="81"/>
            <rFont val="Tahoma"/>
            <family val="2"/>
          </rPr>
          <t>source note</t>
        </r>
      </text>
    </comment>
    <comment ref="A3" authorId="0" shapeId="0" xr:uid="{1FB64A72-D7A0-4053-A82D-98558EC18D79}">
      <text>
        <r>
          <rPr>
            <sz val="9"/>
            <color indexed="81"/>
            <rFont val="Tahoma"/>
            <family val="2"/>
          </rPr>
          <t>source note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1" authorId="0" shapeId="0" xr:uid="{258C0502-8BDC-42A2-B7CA-299E7ADE412B}">
      <text>
        <r>
          <rPr>
            <sz val="9"/>
            <color indexed="81"/>
            <rFont val="Tahoma"/>
            <family val="2"/>
          </rPr>
          <t>destination note</t>
        </r>
      </text>
    </comment>
    <comment ref="A3" authorId="0" shapeId="0" xr:uid="{0DB8848E-9EA0-4028-8C3A-49D8FC48F373}">
      <text>
        <r>
          <rPr>
            <sz val="9"/>
            <color indexed="81"/>
            <rFont val="Tahoma"/>
            <family val="2"/>
          </rPr>
          <t>source note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1" authorId="0" shapeId="0" xr:uid="{D9781E5A-ED6C-44F4-8F17-DC3C80E0B5FA}">
      <text>
        <r>
          <rPr>
            <sz val="9"/>
            <color indexed="81"/>
            <rFont val="Tahoma"/>
            <family val="2"/>
          </rPr>
          <t>destination note</t>
        </r>
      </text>
    </comment>
    <comment ref="A3" authorId="0" shapeId="0" xr:uid="{9F7E6B3C-7531-4657-82E2-4D2D71D2D531}">
      <text>
        <r>
          <rPr>
            <sz val="9"/>
            <color indexed="81"/>
            <rFont val="Tahoma"/>
            <family val="2"/>
          </rPr>
          <t>source note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1" authorId="0" shapeId="0" xr:uid="{115C1BCB-E64B-4154-B146-0014BA52332F}">
      <text>
        <r>
          <rPr>
            <sz val="9"/>
            <color indexed="81"/>
            <rFont val="Tahoma"/>
            <family val="2"/>
          </rPr>
          <t>destination note</t>
        </r>
      </text>
    </comment>
    <comment ref="A3" authorId="0" shapeId="0" xr:uid="{93324492-20E0-4102-9BD4-92C0E93DFD94}">
      <text>
        <r>
          <rPr>
            <sz val="9"/>
            <color indexed="81"/>
            <rFont val="Tahoma"/>
            <family val="2"/>
          </rPr>
          <t>source note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F1" authorId="0" shapeId="0" xr:uid="{B81B730C-35BC-49AB-BC18-4808BCADC7B5}">
      <text>
        <r>
          <rPr>
            <sz val="9"/>
            <color indexed="81"/>
            <rFont val="Tahoma"/>
            <family val="2"/>
          </rPr>
          <t>destination note</t>
        </r>
      </text>
    </comment>
    <comment ref="A3" authorId="0" shapeId="0" xr:uid="{8CF24053-73C6-49BB-B59D-D8BE0AFA51C4}">
      <text>
        <r>
          <rPr>
            <sz val="9"/>
            <color indexed="81"/>
            <rFont val="Tahoma"/>
            <family val="2"/>
          </rPr>
          <t>source note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3" authorId="0" shapeId="0" xr:uid="{58503F49-DBDF-4798-A456-1CDB38483266}">
      <text>
        <r>
          <rPr>
            <sz val="9"/>
            <color indexed="81"/>
            <rFont val="Tahoma"/>
            <family val="2"/>
          </rPr>
          <t>source note</t>
        </r>
      </text>
    </comment>
    <comment ref="E3" authorId="0" shapeId="0" xr:uid="{0A2ED7D4-08EA-4E22-B954-8E3AA2896F90}">
      <text>
        <r>
          <rPr>
            <sz val="9"/>
            <color indexed="81"/>
            <rFont val="Tahoma"/>
            <family val="2"/>
          </rPr>
          <t>source note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D10D2C81-7469-4308-956C-ECAC027E5D7F}">
      <text>
        <r>
          <rPr>
            <sz val="9"/>
            <color indexed="81"/>
            <rFont val="Tahoma"/>
            <family val="2"/>
          </rPr>
          <t>blank noted</t>
        </r>
      </text>
    </comment>
    <comment ref="E1" authorId="0" shapeId="0" xr:uid="{F3AB86FA-B423-4C28-A464-DFD8A5997140}">
      <text>
        <r>
          <rPr>
            <sz val="9"/>
            <color indexed="81"/>
            <rFont val="Tahoma"/>
            <family val="2"/>
          </rPr>
          <t>blank noted</t>
        </r>
      </text>
    </comment>
    <comment ref="A5" authorId="0" shapeId="0" xr:uid="{9281070E-10E9-49E4-9286-0CD7DEB254E4}">
      <text>
        <r>
          <rPr>
            <sz val="9"/>
            <color indexed="81"/>
            <rFont val="Tahoma"/>
            <family val="2"/>
          </rPr>
          <t>valued note</t>
        </r>
      </text>
    </comment>
    <comment ref="E5" authorId="0" shapeId="0" xr:uid="{71870D2D-926E-4C08-9815-5A53EBCC23A7}">
      <text>
        <r>
          <rPr>
            <sz val="9"/>
            <color indexed="81"/>
            <rFont val="Tahoma"/>
            <family val="2"/>
          </rPr>
          <t>valued note</t>
        </r>
      </text>
    </comment>
    <comment ref="E6" authorId="0" shapeId="0" xr:uid="{7DF1B834-A629-4E35-A2FF-0F5B1DEC719A}">
      <text>
        <r>
          <rPr>
            <sz val="9"/>
            <color indexed="81"/>
            <rFont val="Tahoma"/>
            <family val="2"/>
          </rPr>
          <t>dest six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1" authorId="0" shapeId="0" xr:uid="{B60BA547-38E5-48B1-9733-A360EB876174}">
      <text>
        <r>
          <rPr>
            <sz val="9"/>
            <color indexed="81"/>
            <rFont val="Tahoma"/>
            <family val="2"/>
          </rPr>
          <t>dest one</t>
        </r>
      </text>
    </comment>
    <comment ref="E2" authorId="0" shapeId="0" xr:uid="{02BFFEF5-EE04-4B11-9AA8-F6A917F24EAF}">
      <text>
        <r>
          <rPr>
            <sz val="9"/>
            <color indexed="81"/>
            <rFont val="Tahoma"/>
            <family val="2"/>
          </rPr>
          <t>dest two</t>
        </r>
      </text>
    </comment>
    <comment ref="A3" authorId="0" shapeId="0" xr:uid="{4F321E30-9DCC-4FAA-AF57-45AAC18839E8}">
      <text>
        <r>
          <rPr>
            <sz val="9"/>
            <color indexed="81"/>
            <rFont val="Tahoma"/>
            <family val="2"/>
          </rPr>
          <t>source three</t>
        </r>
      </text>
    </comment>
    <comment ref="E3" authorId="0" shapeId="0" xr:uid="{2A4F31DA-98FB-4BAC-8B56-B6AB9DE34187}">
      <text>
        <r>
          <rPr>
            <sz val="9"/>
            <color indexed="81"/>
            <rFont val="Tahoma"/>
            <family val="2"/>
          </rPr>
          <t>source three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2" authorId="0" shapeId="0" xr:uid="{3F4ECAE5-888D-4B95-BBEE-3AFD07C38B0F}">
      <text>
        <r>
          <rPr>
            <sz val="9"/>
            <color indexed="81"/>
            <rFont val="Tahoma"/>
            <family val="2"/>
          </rPr>
          <t>kept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1FEECF99-DB13-4BEE-BFEB-D28BB259742E}">
      <text>
        <r>
          <rPr>
            <sz val="9"/>
            <color indexed="81"/>
            <rFont val="Tahoma"/>
            <family val="2"/>
          </rPr>
          <t>note</t>
        </r>
      </text>
    </comment>
    <comment ref="E1" authorId="0" shapeId="0" xr:uid="{CC4A88F0-5979-4D4D-822B-8A4D0CE6E79A}">
      <text>
        <r>
          <rPr>
            <sz val="9"/>
            <color indexed="81"/>
            <rFont val="Tahoma"/>
            <family val="2"/>
          </rPr>
          <t>note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<sst xmlns="http://schemas.openxmlformats.org/spreadsheetml/2006/main" count="110" uniqueCount="12">
  <si>
    <t>t</t>
  </si>
  <si>
    <t>merged</t>
  </si>
  <si>
    <t>link</t>
  </si>
  <si>
    <t>bold plain</t>
  </si>
  <si>
    <r>
      <t>bold</t>
    </r>
    <r>
      <rPr>
        <sz val="11"/>
        <color theme="1"/>
        <rFont val="Aptos Narrow"/>
        <family val="2"/>
        <scheme val="minor"/>
      </rPr>
      <t xml:space="preserve"> plain</t>
    </r>
  </si>
  <si>
    <t>m</t>
  </si>
  <si>
    <t>x</t>
  </si>
  <si>
    <t>src</t>
  </si>
  <si>
    <t>h</t>
  </si>
  <si>
    <t>k</t>
  </si>
  <si>
    <t>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</si>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</sst>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80000"/>
        <bgColor indexed="64"/>
      </patternFill>
    </fill>
    <fill>
      <patternFill patternType="solid">
        <fgColor rgb="FF00C800"/>
        <bgColor indexed="64"/>
      </patternFill>
    </fill>
    <fill>
      <patternFill patternType="solid">
        <fgColor rgb="FF0000C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2" fontId="0" fillId="0" borderId="0" xfId="0" applyNumberFormat="1"/>
    <xf numFmtId="2" fontId="0" fillId="2" borderId="0" xfId="0" applyNumberFormat="1" applyFill="1"/>
    <xf numFmtId="2" fontId="1" fillId="2" borderId="1" xfId="0" applyNumberFormat="1" applyFont="1" applyFill="1" applyBorder="1"/>
    <xf numFmtId="3" fontId="0" fillId="0" borderId="0" xfId="0" applyNumberFormat="1"/>
    <xf numFmtId="0" fontId="0" fillId="3" borderId="0" xfId="0" applyFill="1"/>
    <xf numFmtId="14" fontId="0" fillId="0" borderId="0" xfId="0" applyNumberFormat="1"/>
    <xf numFmtId="0" fontId="0" fillId="0" borderId="0" xfId="0"/>
    <xf numFmtId="0" fontId="3" fillId="0" borderId="0" xfId="1"/>
    <xf numFmtId="0" fontId="0" fillId="4" borderId="0" xfId="0" applyFill="1"/>
    <xf numFmtId="0" fontId="0" fillId="4" borderId="1" xfId="0" applyFill="1" applyBorder="1"/>
    <xf numFmtId="9" fontId="0" fillId="0" borderId="0" xfId="0" applyNumberFormat="1"/>
    <xf numFmtId="9" fontId="0" fillId="0" borderId="2" xfId="0" applyNumberFormat="1" applyBorder="1"/>
    <xf numFmtId="0" fontId="1" fillId="0" borderId="0" xfId="0" applyFont="1"/>
    <xf numFmtId="0" fontId="0" fillId="2" borderId="0" xfId="0" applyFill="1"/>
    <xf numFmtId="0" fontId="0" fillId="0" borderId="1" xfId="0" applyBorder="1"/>
    <xf numFmtId="2" fontId="0" fillId="4" borderId="0" xfId="0" applyNumberFormat="1" applyFill="1"/>
    <xf numFmtId="3" fontId="0" fillId="0" borderId="2" xfId="0" applyNumberFormat="1" applyBorder="1"/>
    <xf numFmtId="2" fontId="0" fillId="4" borderId="1" xfId="0" applyNumberFormat="1" applyFill="1" applyBorder="1"/>
    <xf numFmtId="0" fontId="0" fillId="0" borderId="0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sheetMetadata" Target="metadata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theme" Target="theme/theme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0</xdr:row>
      <xdr:rowOff>63500</xdr:rowOff>
    </xdr:from>
    <xdr:to>
      <xdr:col>0</xdr:col>
      <xdr:colOff>571500</xdr:colOff>
      <xdr:row>1</xdr:row>
      <xdr:rowOff>127000</xdr:rowOff>
    </xdr:to>
    <xdr:sp macro="" textlink="">
      <xdr:nvSpPr>
        <xdr:cNvPr id="2" name="Box">
          <a:extLst>
            <a:ext uri="{FF2B5EF4-FFF2-40B4-BE49-F238E27FC236}">
              <a16:creationId xmlns:a16="http://schemas.microsoft.com/office/drawing/2014/main" id="{5FAAABC3-1BB9-2142-64E9-CCB47E535D07}"/>
            </a:ext>
          </a:extLst>
        </xdr:cNvPr>
        <xdr:cNvSpPr/>
      </xdr:nvSpPr>
      <xdr:spPr>
        <a:xfrm>
          <a:off x="63500" y="63500"/>
          <a:ext cx="508000" cy="254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0</xdr:row>
      <xdr:rowOff>63500</xdr:rowOff>
    </xdr:from>
    <xdr:to>
      <xdr:col>0</xdr:col>
      <xdr:colOff>571500</xdr:colOff>
      <xdr:row>1</xdr:row>
      <xdr:rowOff>127000</xdr:rowOff>
    </xdr:to>
    <xdr:sp macro="" textlink="">
      <xdr:nvSpPr>
        <xdr:cNvPr id="2" name="Box">
          <a:extLst>
            <a:ext uri="{FF2B5EF4-FFF2-40B4-BE49-F238E27FC236}">
              <a16:creationId xmlns:a16="http://schemas.microsoft.com/office/drawing/2014/main" id="{D4F8A4E1-5434-9377-3F41-2E50A3EA7976}"/>
            </a:ext>
          </a:extLst>
        </xdr:cNvPr>
        <xdr:cNvSpPr/>
      </xdr:nvSpPr>
      <xdr:spPr>
        <a:xfrm>
          <a:off x="63500" y="63500"/>
          <a:ext cx="508000" cy="254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26700D-E844-4AF2-9970-B622D7763BD4}" name="Vals" displayName="Vals" ref="A1:B4" totalsRowShown="0">
  <autoFilter ref="A1:B4" xr:uid="{7726700D-E844-4AF2-9970-B622D7763BD4}"/>
  <tableColumns count="2">
    <tableColumn id="1" xr3:uid="{0FCCE828-17E2-47C8-B93B-297F635C2553}" name="k"/>
    <tableColumn id="2" xr3:uid="{33DA6838-3D09-4220-BD76-644EF7AC9A6F}" name="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example.com/source" TargetMode="External"/><Relationship Id="rId1" Type="http://schemas.openxmlformats.org/officeDocument/2006/relationships/hyperlink" Target="https://example.com/source" TargetMode="External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hyperlink" Target="https://example.com/destination" TargetMode="External"/><Relationship Id="rId1" Type="http://schemas.openxmlformats.org/officeDocument/2006/relationships/hyperlink" Target="https://example.com/source" TargetMode="External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hyperlink" Target="https://example.com/destination" TargetMode="External"/><Relationship Id="rId1" Type="http://schemas.openxmlformats.org/officeDocument/2006/relationships/hyperlink" Target="https://example.com/source" TargetMode="External"/><Relationship Id="rId4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hyperlink" Target="https://example.com/destination" TargetMode="External"/><Relationship Id="rId1" Type="http://schemas.openxmlformats.org/officeDocument/2006/relationships/hyperlink" Target="https://example.com/source" TargetMode="External"/><Relationship Id="rId4" Type="http://schemas.openxmlformats.org/officeDocument/2006/relationships/comments" Target="../comments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hyperlink" Target="https://example.com/destination" TargetMode="External"/><Relationship Id="rId1" Type="http://schemas.openxmlformats.org/officeDocument/2006/relationships/hyperlink" Target="https://example.com/source" TargetMode="External"/><Relationship Id="rId4" Type="http://schemas.openxmlformats.org/officeDocument/2006/relationships/comments" Target="../comments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hyperlink" Target="https://example.com/destination" TargetMode="External"/><Relationship Id="rId1" Type="http://schemas.openxmlformats.org/officeDocument/2006/relationships/hyperlink" Target="https://example.com/source" TargetMode="External"/><Relationship Id="rId4" Type="http://schemas.openxmlformats.org/officeDocument/2006/relationships/comments" Target="../comments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hyperlink" Target="https://example.com/source" TargetMode="External"/><Relationship Id="rId1" Type="http://schemas.openxmlformats.org/officeDocument/2006/relationships/hyperlink" Target="https://example.com/source" TargetMode="External"/><Relationship Id="rId4" Type="http://schemas.openxmlformats.org/officeDocument/2006/relationships/comments" Target="../comments7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hyperlink" Target="https://example.com/destination" TargetMode="External"/><Relationship Id="rId1" Type="http://schemas.openxmlformats.org/officeDocument/2006/relationships/hyperlink" Target="https://example.com/source" TargetMode="External"/><Relationship Id="rId4" Type="http://schemas.openxmlformats.org/officeDocument/2006/relationships/comments" Target="../comments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hyperlink" Target="https://example.com/destination" TargetMode="External"/><Relationship Id="rId1" Type="http://schemas.openxmlformats.org/officeDocument/2006/relationships/hyperlink" Target="https://example.com/source" TargetMode="External"/><Relationship Id="rId4" Type="http://schemas.openxmlformats.org/officeDocument/2006/relationships/comments" Target="../comments9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hyperlink" Target="https://example.com/destination" TargetMode="External"/><Relationship Id="rId1" Type="http://schemas.openxmlformats.org/officeDocument/2006/relationships/hyperlink" Target="https://example.com/source" TargetMode="External"/><Relationship Id="rId4" Type="http://schemas.openxmlformats.org/officeDocument/2006/relationships/comments" Target="../comments1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hyperlink" Target="https://example.com/source" TargetMode="External"/><Relationship Id="rId1" Type="http://schemas.openxmlformats.org/officeDocument/2006/relationships/hyperlink" Target="https://example.com/source" TargetMode="External"/><Relationship Id="rId4" Type="http://schemas.openxmlformats.org/officeDocument/2006/relationships/comments" Target="../comments11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https://example.com/source" TargetMode="External"/><Relationship Id="rId2" Type="http://schemas.openxmlformats.org/officeDocument/2006/relationships/hyperlink" Target="https://example.com/destination" TargetMode="External"/><Relationship Id="rId1" Type="http://schemas.openxmlformats.org/officeDocument/2006/relationships/hyperlink" Target="https://example.com/source" TargetMode="External"/><Relationship Id="rId5" Type="http://schemas.openxmlformats.org/officeDocument/2006/relationships/comments" Target="../comments12.xml"/><Relationship Id="rId4" Type="http://schemas.openxmlformats.org/officeDocument/2006/relationships/vmlDrawing" Target="../drawings/vmlDrawing12.v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hyperlink" Target="https://example.com/source" TargetMode="External"/><Relationship Id="rId2" Type="http://schemas.openxmlformats.org/officeDocument/2006/relationships/hyperlink" Target="https://example.com/destination" TargetMode="External"/><Relationship Id="rId1" Type="http://schemas.openxmlformats.org/officeDocument/2006/relationships/hyperlink" Target="https://example.com/source" TargetMode="External"/><Relationship Id="rId5" Type="http://schemas.openxmlformats.org/officeDocument/2006/relationships/comments" Target="../comments13.xml"/><Relationship Id="rId4" Type="http://schemas.openxmlformats.org/officeDocument/2006/relationships/vmlDrawing" Target="../drawings/vmlDrawing13.v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hyperlink" Target="https://example.com/destination" TargetMode="External"/><Relationship Id="rId1" Type="http://schemas.openxmlformats.org/officeDocument/2006/relationships/hyperlink" Target="https://example.com/source" TargetMode="External"/><Relationship Id="rId4" Type="http://schemas.openxmlformats.org/officeDocument/2006/relationships/comments" Target="../comments1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hyperlink" Target="https://example.com/destination" TargetMode="External"/><Relationship Id="rId1" Type="http://schemas.openxmlformats.org/officeDocument/2006/relationships/hyperlink" Target="https://example.com/source" TargetMode="External"/><Relationship Id="rId4" Type="http://schemas.openxmlformats.org/officeDocument/2006/relationships/comments" Target="../comments15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hyperlink" Target="https://example.com/destination" TargetMode="External"/><Relationship Id="rId1" Type="http://schemas.openxmlformats.org/officeDocument/2006/relationships/hyperlink" Target="https://example.com/source" TargetMode="External"/><Relationship Id="rId4" Type="http://schemas.openxmlformats.org/officeDocument/2006/relationships/comments" Target="../comments16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hyperlink" Target="https://example.com/destination" TargetMode="External"/><Relationship Id="rId1" Type="http://schemas.openxmlformats.org/officeDocument/2006/relationships/hyperlink" Target="https://example.com/source" TargetMode="External"/><Relationship Id="rId4" Type="http://schemas.openxmlformats.org/officeDocument/2006/relationships/comments" Target="../comments17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hyperlink" Target="https://example.com/source" TargetMode="External"/><Relationship Id="rId1" Type="http://schemas.openxmlformats.org/officeDocument/2006/relationships/hyperlink" Target="https://example.com/source" TargetMode="External"/><Relationship Id="rId4" Type="http://schemas.openxmlformats.org/officeDocument/2006/relationships/comments" Target="../comments18.x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hyperlink" Target="https://example.com/two" TargetMode="External"/><Relationship Id="rId1" Type="http://schemas.openxmlformats.org/officeDocument/2006/relationships/hyperlink" Target="https://example.com/one" TargetMode="Externa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hyperlink" Target="https://example.com/two" TargetMode="External"/><Relationship Id="rId1" Type="http://schemas.openxmlformats.org/officeDocument/2006/relationships/hyperlink" Target="https://example.com/one" TargetMode="External"/></Relationships>
</file>

<file path=xl/worksheets/_rels/sheet8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hyperlink" Target="https://example.com/kept" TargetMode="Externa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7BB48-A8BD-4132-AF45-6D8CF2C9BABC}">
  <sheetPr codeName="Sheet1"/>
  <dimension ref="A1:I11"/>
  <sheetViews>
    <sheetView workbookViewId="0">
      <selection activeCell="A10" sqref="A10:B11"/>
    </sheetView>
  </sheetViews>
  <sheetFormatPr defaultRowHeight="15" x14ac:dyDescent="0.25"/>
  <sheetData>
    <row r="1" spans="1:9" x14ac:dyDescent="0.25">
      <c r="G1">
        <f>Other!L4</f>
        <v>0</v>
      </c>
      <c r="H1">
        <f ca="1">SUM(H:H)</f>
        <v>0</v>
      </c>
      <c r="I1">
        <f>G1+H2</f>
        <v>0</v>
      </c>
    </row>
    <row r="2" spans="1:9" x14ac:dyDescent="0.25">
      <c r="G2">
        <f ca="1">SUM(G1:H2)</f>
        <v>0</v>
      </c>
      <c r="H2">
        <f>$G$1</f>
        <v>0</v>
      </c>
      <c r="I2">
        <f>$G1+G$1</f>
        <v>0</v>
      </c>
    </row>
    <row r="6" spans="1:9" x14ac:dyDescent="0.25">
      <c r="D6">
        <v>5</v>
      </c>
    </row>
    <row r="10" spans="1:9" x14ac:dyDescent="0.25">
      <c r="A10">
        <f>PasteLink!A1</f>
        <v>1</v>
      </c>
      <c r="B10" t="str">
        <f>PasteLink!B1</f>
        <v>t</v>
      </c>
    </row>
    <row r="11" spans="1:9" x14ac:dyDescent="0.25">
      <c r="A11">
        <f>PasteLink!A2</f>
        <v>0</v>
      </c>
      <c r="B11">
        <f>PasteLink!B2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7810F-605C-40AC-B737-3D37504821DB}">
  <dimension ref="B5"/>
  <sheetViews>
    <sheetView workbookViewId="0"/>
  </sheetViews>
  <sheetFormatPr defaultRowHeight="15" x14ac:dyDescent="0.25"/>
  <sheetData>
    <row r="5" spans="2:2" x14ac:dyDescent="0.25">
      <c r="B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A0D87-14BD-437F-AC4B-881EEA10EFF7}">
  <dimension ref="B5"/>
  <sheetViews>
    <sheetView workbookViewId="0"/>
  </sheetViews>
  <sheetFormatPr defaultRowHeight="15" x14ac:dyDescent="0.25"/>
  <sheetData>
    <row r="5" spans="2:2" x14ac:dyDescent="0.25">
      <c r="B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11FBE-3572-4643-87B5-3FB93547F0B2}">
  <dimension ref="A1:G4"/>
  <sheetViews>
    <sheetView workbookViewId="0">
      <selection activeCell="E1" sqref="E1:G4"/>
    </sheetView>
  </sheetViews>
  <sheetFormatPr defaultRowHeight="15" x14ac:dyDescent="0.25"/>
  <cols>
    <col min="1" max="1" width="15.7109375" customWidth="1"/>
    <col min="2" max="2" width="9.42578125" bestFit="1" customWidth="1"/>
  </cols>
  <sheetData>
    <row r="1" spans="1:7" x14ac:dyDescent="0.25">
      <c r="A1" s="3">
        <v>10</v>
      </c>
      <c r="B1" s="6">
        <v>43845</v>
      </c>
      <c r="C1" s="7" t="s">
        <v>1</v>
      </c>
      <c r="E1" s="3">
        <v>10</v>
      </c>
      <c r="F1" s="6">
        <v>43845</v>
      </c>
      <c r="G1" s="7" t="s">
        <v>1</v>
      </c>
    </row>
    <row r="2" spans="1:7" x14ac:dyDescent="0.25">
      <c r="A2" s="4">
        <f>A1*2</f>
        <v>20</v>
      </c>
      <c r="B2">
        <f>Other!A1+1</f>
        <v>1</v>
      </c>
      <c r="C2" s="7"/>
      <c r="E2" s="4">
        <f>E1*2</f>
        <v>20</v>
      </c>
      <c r="F2">
        <f>Other!E1+1</f>
        <v>1</v>
      </c>
      <c r="G2" s="7"/>
    </row>
    <row r="3" spans="1:7" x14ac:dyDescent="0.25">
      <c r="A3" t="s">
        <v>0</v>
      </c>
      <c r="B3" t="b">
        <v>1</v>
      </c>
      <c r="C3" s="8" t="s">
        <v>2</v>
      </c>
      <c r="E3" t="s">
        <v>0</v>
      </c>
      <c r="F3" t="b">
        <v>1</v>
      </c>
      <c r="G3" s="8" t="s">
        <v>2</v>
      </c>
    </row>
    <row r="4" spans="1:7" x14ac:dyDescent="0.25">
      <c r="A4" s="5"/>
      <c r="B4" t="e">
        <f>NA()</f>
        <v>#N/A</v>
      </c>
      <c r="C4" s="1">
        <f>SUM(A1:A2)</f>
        <v>30</v>
      </c>
      <c r="E4" s="5"/>
      <c r="F4" t="e">
        <f>NA()</f>
        <v>#N/A</v>
      </c>
      <c r="G4" s="1">
        <f>SUM(E1:E2)</f>
        <v>30</v>
      </c>
    </row>
  </sheetData>
  <mergeCells count="2">
    <mergeCell ref="C1:C2"/>
    <mergeCell ref="G1:G2"/>
  </mergeCells>
  <conditionalFormatting sqref="B1:B4">
    <cfRule type="cellIs" priority="2" stopIfTrue="1" operator="greaterThan">
      <formula>5</formula>
    </cfRule>
  </conditionalFormatting>
  <conditionalFormatting sqref="F1:F4">
    <cfRule type="cellIs" priority="1" stopIfTrue="1" operator="greaterThan">
      <formula>5</formula>
    </cfRule>
  </conditionalFormatting>
  <dataValidations count="1">
    <dataValidation type="whole" allowBlank="1" showInputMessage="1" showErrorMessage="1" sqref="A1:A2 E1:E2" xr:uid="{CA0E78C4-C2D9-4129-AC9F-31431646006B}">
      <formula1>0</formula1>
      <formula2>99</formula2>
    </dataValidation>
  </dataValidations>
  <hyperlinks>
    <hyperlink ref="C3" r:id="rId1" display="https://example.com/source" xr:uid="{368AC82E-6182-4C26-8A16-264FEE95CDCF}"/>
    <hyperlink ref="G3" r:id="rId2" display="https://example.com/source" xr:uid="{0D8A8B88-9C0D-40B2-86E8-F10699E63500}"/>
  </hyperlinks>
  <pageMargins left="0.7" right="0.7" top="0.75" bottom="0.75" header="0.3" footer="0.3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84B36-F2FA-4370-82F7-2F895E535A80}">
  <dimension ref="A1:G4"/>
  <sheetViews>
    <sheetView workbookViewId="0">
      <selection activeCell="E1" sqref="E1:G4"/>
    </sheetView>
  </sheetViews>
  <sheetFormatPr defaultRowHeight="15" x14ac:dyDescent="0.25"/>
  <cols>
    <col min="1" max="1" width="15.7109375" customWidth="1"/>
    <col min="2" max="2" width="9.42578125" bestFit="1" customWidth="1"/>
  </cols>
  <sheetData>
    <row r="1" spans="1:7" x14ac:dyDescent="0.25">
      <c r="A1" s="3">
        <v>10</v>
      </c>
      <c r="B1" s="6">
        <v>43845</v>
      </c>
      <c r="C1" s="7" t="s">
        <v>1</v>
      </c>
      <c r="E1" s="10">
        <v>10</v>
      </c>
      <c r="F1">
        <v>43845</v>
      </c>
      <c r="G1" t="s">
        <v>1</v>
      </c>
    </row>
    <row r="2" spans="1:7" x14ac:dyDescent="0.25">
      <c r="A2" s="4">
        <f>A1*2</f>
        <v>20</v>
      </c>
      <c r="B2">
        <f>Other!A1+1</f>
        <v>1</v>
      </c>
      <c r="C2" s="7"/>
      <c r="E2" s="12">
        <f>E1*2</f>
        <v>20</v>
      </c>
      <c r="F2">
        <f>Other!E1+1</f>
        <v>1</v>
      </c>
    </row>
    <row r="3" spans="1:7" x14ac:dyDescent="0.25">
      <c r="A3" t="s">
        <v>0</v>
      </c>
      <c r="B3" t="b">
        <v>1</v>
      </c>
      <c r="C3" s="8" t="s">
        <v>2</v>
      </c>
      <c r="E3" t="s">
        <v>0</v>
      </c>
      <c r="F3" t="b">
        <v>1</v>
      </c>
      <c r="G3" t="s">
        <v>2</v>
      </c>
    </row>
    <row r="4" spans="1:7" x14ac:dyDescent="0.25">
      <c r="A4" s="5"/>
      <c r="B4" t="e">
        <f>NA()</f>
        <v>#N/A</v>
      </c>
      <c r="C4" s="1">
        <f>SUM(A1:A2)</f>
        <v>30</v>
      </c>
      <c r="F4" s="8" t="e">
        <f>NA()</f>
        <v>#N/A</v>
      </c>
      <c r="G4">
        <f>SUM(E1:E2)</f>
        <v>30</v>
      </c>
    </row>
  </sheetData>
  <mergeCells count="1">
    <mergeCell ref="C1:C2"/>
  </mergeCells>
  <conditionalFormatting sqref="B1:B4">
    <cfRule type="cellIs" priority="1" stopIfTrue="1" operator="greaterThan">
      <formula>5</formula>
    </cfRule>
  </conditionalFormatting>
  <conditionalFormatting sqref="E3:E4">
    <cfRule type="cellIs" priority="2" stopIfTrue="1" operator="greaterThan">
      <formula>100</formula>
    </cfRule>
  </conditionalFormatting>
  <dataValidations count="2">
    <dataValidation type="whole" allowBlank="1" showInputMessage="1" showErrorMessage="1" sqref="A1:A2" xr:uid="{77468498-2ECA-4A73-8B02-AFFA888E7954}">
      <formula1>0</formula1>
      <formula2>99</formula2>
    </dataValidation>
    <dataValidation type="whole" allowBlank="1" showInputMessage="1" showErrorMessage="1" sqref="G1:G2" xr:uid="{902D31AF-FFE4-4F55-B396-826ABA5EB67A}">
      <formula1>0</formula1>
      <formula2>9</formula2>
    </dataValidation>
  </dataValidations>
  <hyperlinks>
    <hyperlink ref="C3" r:id="rId1" display="https://example.com/source" xr:uid="{8657842A-B92C-4C3D-A932-33D82EDABA08}"/>
    <hyperlink ref="F4" r:id="rId2" display="https://example.com/destination" xr:uid="{EB7014CC-0244-4B53-B8EA-7AED95A79E25}"/>
  </hyperlinks>
  <pageMargins left="0.7" right="0.7" top="0.75" bottom="0.75" header="0.3" footer="0.3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3EFC6-B9A7-471B-892D-7FE4D7C4C338}">
  <dimension ref="A1:G4"/>
  <sheetViews>
    <sheetView workbookViewId="0">
      <selection activeCell="E1" sqref="E1:G4"/>
    </sheetView>
  </sheetViews>
  <sheetFormatPr defaultRowHeight="15" x14ac:dyDescent="0.25"/>
  <cols>
    <col min="1" max="1" width="15.7109375" customWidth="1"/>
    <col min="2" max="2" width="9.42578125" bestFit="1" customWidth="1"/>
  </cols>
  <sheetData>
    <row r="1" spans="1:7" x14ac:dyDescent="0.25">
      <c r="A1" s="3">
        <v>10</v>
      </c>
      <c r="B1" s="6">
        <v>43845</v>
      </c>
      <c r="C1" s="7" t="s">
        <v>1</v>
      </c>
      <c r="E1" s="10">
        <v>10</v>
      </c>
      <c r="F1">
        <v>43845</v>
      </c>
      <c r="G1" t="s">
        <v>1</v>
      </c>
    </row>
    <row r="2" spans="1:7" x14ac:dyDescent="0.25">
      <c r="A2" s="4">
        <f>A1*2</f>
        <v>20</v>
      </c>
      <c r="B2">
        <f>Other!A1+1</f>
        <v>1</v>
      </c>
      <c r="C2" s="7"/>
      <c r="E2" s="12">
        <v>20</v>
      </c>
      <c r="F2">
        <v>1</v>
      </c>
    </row>
    <row r="3" spans="1:7" x14ac:dyDescent="0.25">
      <c r="A3" t="s">
        <v>0</v>
      </c>
      <c r="B3" t="b">
        <v>1</v>
      </c>
      <c r="C3" s="8" t="s">
        <v>2</v>
      </c>
      <c r="E3" t="s">
        <v>0</v>
      </c>
      <c r="F3" t="b">
        <v>1</v>
      </c>
      <c r="G3" t="s">
        <v>2</v>
      </c>
    </row>
    <row r="4" spans="1:7" x14ac:dyDescent="0.25">
      <c r="A4" s="5"/>
      <c r="B4" t="e">
        <f>NA()</f>
        <v>#N/A</v>
      </c>
      <c r="C4" s="1">
        <f>SUM(A1:A2)</f>
        <v>30</v>
      </c>
      <c r="F4" s="8" t="e">
        <v>#N/A</v>
      </c>
      <c r="G4">
        <v>30</v>
      </c>
    </row>
  </sheetData>
  <mergeCells count="1">
    <mergeCell ref="C1:C2"/>
  </mergeCells>
  <conditionalFormatting sqref="B1:B4">
    <cfRule type="cellIs" priority="1" stopIfTrue="1" operator="greaterThan">
      <formula>5</formula>
    </cfRule>
  </conditionalFormatting>
  <conditionalFormatting sqref="E3:E4">
    <cfRule type="cellIs" priority="2" stopIfTrue="1" operator="greaterThan">
      <formula>100</formula>
    </cfRule>
  </conditionalFormatting>
  <dataValidations count="2">
    <dataValidation type="whole" allowBlank="1" showInputMessage="1" showErrorMessage="1" sqref="A1:A2" xr:uid="{CC3C5BDA-4CDD-47E1-BF08-056847A75171}">
      <formula1>0</formula1>
      <formula2>99</formula2>
    </dataValidation>
    <dataValidation type="whole" allowBlank="1" showInputMessage="1" showErrorMessage="1" sqref="G1:G2" xr:uid="{71236F9B-CC52-4DF6-A55D-ED288B521A24}">
      <formula1>0</formula1>
      <formula2>9</formula2>
    </dataValidation>
  </dataValidations>
  <hyperlinks>
    <hyperlink ref="C3" r:id="rId1" display="https://example.com/source" xr:uid="{D82BF0BE-76F2-43AB-939F-55B2BA4B683F}"/>
    <hyperlink ref="F4" r:id="rId2" display="https://example.com/destination" xr:uid="{33437D4D-6E35-4A5D-B664-DD10E7C7D745}"/>
  </hyperlinks>
  <pageMargins left="0.7" right="0.7" top="0.75" bottom="0.75" header="0.3" footer="0.3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9D3D9-558F-4484-BCDA-2B5F3FE533E4}">
  <dimension ref="A1:G4"/>
  <sheetViews>
    <sheetView workbookViewId="0">
      <selection activeCell="E1" sqref="E1:G4"/>
    </sheetView>
  </sheetViews>
  <sheetFormatPr defaultRowHeight="15" x14ac:dyDescent="0.25"/>
  <cols>
    <col min="1" max="1" width="15.7109375" customWidth="1"/>
    <col min="2" max="2" width="9.42578125" bestFit="1" customWidth="1"/>
  </cols>
  <sheetData>
    <row r="1" spans="1:7" x14ac:dyDescent="0.25">
      <c r="A1" s="3">
        <v>10</v>
      </c>
      <c r="B1" s="6">
        <v>43845</v>
      </c>
      <c r="C1" s="7" t="s">
        <v>1</v>
      </c>
      <c r="E1" s="3">
        <v>3</v>
      </c>
      <c r="F1" s="6">
        <v>3</v>
      </c>
      <c r="G1" s="7">
        <v>3</v>
      </c>
    </row>
    <row r="2" spans="1:7" x14ac:dyDescent="0.25">
      <c r="A2" s="4">
        <f>A1*2</f>
        <v>20</v>
      </c>
      <c r="B2">
        <f>Other!A1+1</f>
        <v>1</v>
      </c>
      <c r="C2" s="7"/>
      <c r="E2" s="4">
        <v>3</v>
      </c>
      <c r="F2">
        <v>3</v>
      </c>
      <c r="G2" s="7">
        <v>3</v>
      </c>
    </row>
    <row r="3" spans="1:7" x14ac:dyDescent="0.25">
      <c r="A3" t="s">
        <v>0</v>
      </c>
      <c r="B3" t="b">
        <v>1</v>
      </c>
      <c r="C3" s="8" t="s">
        <v>2</v>
      </c>
      <c r="E3">
        <f>E1+1</f>
        <v>4</v>
      </c>
      <c r="F3">
        <v>3</v>
      </c>
      <c r="G3" s="8">
        <v>3</v>
      </c>
    </row>
    <row r="4" spans="1:7" x14ac:dyDescent="0.25">
      <c r="A4" s="5"/>
      <c r="B4" t="e">
        <f>NA()</f>
        <v>#N/A</v>
      </c>
      <c r="C4" s="1">
        <f>SUM(A1:A2)</f>
        <v>30</v>
      </c>
      <c r="E4" s="5"/>
      <c r="F4">
        <v>3</v>
      </c>
      <c r="G4" s="1">
        <v>3</v>
      </c>
    </row>
  </sheetData>
  <mergeCells count="2">
    <mergeCell ref="C1:C2"/>
    <mergeCell ref="G1:G2"/>
  </mergeCells>
  <conditionalFormatting sqref="B1:B4">
    <cfRule type="cellIs" priority="2" stopIfTrue="1" operator="greaterThan">
      <formula>5</formula>
    </cfRule>
  </conditionalFormatting>
  <conditionalFormatting sqref="F1:F4">
    <cfRule type="cellIs" priority="1" stopIfTrue="1" operator="greaterThan">
      <formula>5</formula>
    </cfRule>
  </conditionalFormatting>
  <dataValidations count="2">
    <dataValidation type="whole" allowBlank="1" showInputMessage="1" showErrorMessage="1" sqref="A1:A2" xr:uid="{4C57604E-A064-4C8B-A3CE-65D1F3E11807}">
      <formula1>0</formula1>
      <formula2>99</formula2>
    </dataValidation>
    <dataValidation type="whole" allowBlank="1" showInputMessage="1" showErrorMessage="1" sqref="G1:G2" xr:uid="{BB695637-3D36-4041-8CC2-D26C86E44EF1}">
      <formula1>0</formula1>
      <formula2>9</formula2>
    </dataValidation>
  </dataValidations>
  <hyperlinks>
    <hyperlink ref="C3" r:id="rId1" display="https://example.com/source" xr:uid="{BB18E09C-D65C-4C6A-AC75-B34B856DD7B4}"/>
    <hyperlink ref="F4" r:id="rId2" display="https://example.com/destination" xr:uid="{595DD022-D13C-47A0-8A56-82EE8EB4F31F}"/>
  </hyperlinks>
  <pageMargins left="0.7" right="0.7" top="0.75" bottom="0.75" header="0.3" footer="0.3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C0292-4F94-45F8-AA61-F9CB82A1B3F1}">
  <dimension ref="A1:G4"/>
  <sheetViews>
    <sheetView workbookViewId="0">
      <selection activeCell="E1" sqref="E1:G4"/>
    </sheetView>
  </sheetViews>
  <sheetFormatPr defaultRowHeight="15" x14ac:dyDescent="0.25"/>
  <cols>
    <col min="1" max="1" width="15.7109375" customWidth="1"/>
    <col min="2" max="2" width="9.42578125" bestFit="1" customWidth="1"/>
  </cols>
  <sheetData>
    <row r="1" spans="1:7" x14ac:dyDescent="0.25">
      <c r="A1" s="3">
        <v>10</v>
      </c>
      <c r="B1" s="6">
        <v>43845</v>
      </c>
      <c r="C1" s="7" t="s">
        <v>1</v>
      </c>
      <c r="E1" s="10">
        <v>3</v>
      </c>
      <c r="F1">
        <v>3</v>
      </c>
      <c r="G1">
        <v>3</v>
      </c>
    </row>
    <row r="2" spans="1:7" x14ac:dyDescent="0.25">
      <c r="A2" s="4">
        <f>A1*2</f>
        <v>20</v>
      </c>
      <c r="B2">
        <f>Other!A1+1</f>
        <v>1</v>
      </c>
      <c r="C2" s="7"/>
      <c r="E2" s="12">
        <v>3</v>
      </c>
      <c r="F2">
        <v>3</v>
      </c>
      <c r="G2">
        <v>3</v>
      </c>
    </row>
    <row r="3" spans="1:7" x14ac:dyDescent="0.25">
      <c r="A3" t="s">
        <v>0</v>
      </c>
      <c r="B3" t="b">
        <v>1</v>
      </c>
      <c r="C3" s="8" t="s">
        <v>2</v>
      </c>
      <c r="E3">
        <f>E1+1</f>
        <v>4</v>
      </c>
      <c r="F3">
        <v>3</v>
      </c>
      <c r="G3">
        <v>3</v>
      </c>
    </row>
    <row r="4" spans="1:7" x14ac:dyDescent="0.25">
      <c r="A4" s="5"/>
      <c r="B4" t="e">
        <f>NA()</f>
        <v>#N/A</v>
      </c>
      <c r="C4" s="1">
        <f>SUM(A1:A2)</f>
        <v>30</v>
      </c>
      <c r="F4" s="8">
        <v>3</v>
      </c>
      <c r="G4">
        <v>3</v>
      </c>
    </row>
  </sheetData>
  <mergeCells count="1">
    <mergeCell ref="C1:C2"/>
  </mergeCells>
  <conditionalFormatting sqref="B1:B4">
    <cfRule type="cellIs" priority="1" stopIfTrue="1" operator="greaterThan">
      <formula>5</formula>
    </cfRule>
  </conditionalFormatting>
  <conditionalFormatting sqref="E3:E4">
    <cfRule type="cellIs" priority="2" stopIfTrue="1" operator="greaterThan">
      <formula>100</formula>
    </cfRule>
  </conditionalFormatting>
  <dataValidations count="2">
    <dataValidation type="whole" allowBlank="1" showInputMessage="1" showErrorMessage="1" sqref="A1:A2" xr:uid="{1C13A17D-8F70-4ABC-B803-40C7DC28FA57}">
      <formula1>0</formula1>
      <formula2>99</formula2>
    </dataValidation>
    <dataValidation type="whole" allowBlank="1" showInputMessage="1" showErrorMessage="1" sqref="G1:G2" xr:uid="{164B4DC8-B12C-46A4-B2B4-3BBABC7EA64B}">
      <formula1>0</formula1>
      <formula2>9</formula2>
    </dataValidation>
  </dataValidations>
  <hyperlinks>
    <hyperlink ref="C3" r:id="rId1" display="https://example.com/source" xr:uid="{DB857531-CF0B-46AD-AB9C-5590F281A27D}"/>
    <hyperlink ref="F4" r:id="rId2" display="https://example.com/destination" xr:uid="{22864A42-04D8-4F9B-A1F5-E22A7FC4655C}"/>
  </hyperlinks>
  <pageMargins left="0.7" right="0.7" top="0.75" bottom="0.75" header="0.3" footer="0.3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5963F-3E52-4AD7-991E-AF9ADB11602E}">
  <dimension ref="A1:G4"/>
  <sheetViews>
    <sheetView workbookViewId="0">
      <selection activeCell="E1" sqref="E1:G4"/>
    </sheetView>
  </sheetViews>
  <sheetFormatPr defaultRowHeight="15" x14ac:dyDescent="0.25"/>
  <cols>
    <col min="1" max="1" width="15.7109375" customWidth="1"/>
    <col min="2" max="2" width="9.42578125" bestFit="1" customWidth="1"/>
  </cols>
  <sheetData>
    <row r="1" spans="1:7" x14ac:dyDescent="0.25">
      <c r="A1" s="3">
        <v>10</v>
      </c>
      <c r="B1" s="6">
        <v>43845</v>
      </c>
      <c r="C1" s="7" t="s">
        <v>1</v>
      </c>
      <c r="E1" s="10">
        <v>3</v>
      </c>
      <c r="F1">
        <v>3</v>
      </c>
      <c r="G1">
        <v>3</v>
      </c>
    </row>
    <row r="2" spans="1:7" x14ac:dyDescent="0.25">
      <c r="A2" s="4">
        <f>A1*2</f>
        <v>20</v>
      </c>
      <c r="B2">
        <f>Other!A1+1</f>
        <v>1</v>
      </c>
      <c r="C2" s="7"/>
      <c r="E2" s="12">
        <v>3</v>
      </c>
      <c r="F2">
        <v>3</v>
      </c>
      <c r="G2">
        <v>3</v>
      </c>
    </row>
    <row r="3" spans="1:7" x14ac:dyDescent="0.25">
      <c r="A3" t="s">
        <v>0</v>
      </c>
      <c r="B3" t="b">
        <v>1</v>
      </c>
      <c r="C3" s="8" t="s">
        <v>2</v>
      </c>
      <c r="E3">
        <f>E1+1</f>
        <v>4</v>
      </c>
      <c r="F3">
        <v>3</v>
      </c>
      <c r="G3">
        <v>3</v>
      </c>
    </row>
    <row r="4" spans="1:7" x14ac:dyDescent="0.25">
      <c r="A4" s="5"/>
      <c r="B4" t="e">
        <f>NA()</f>
        <v>#N/A</v>
      </c>
      <c r="C4" s="1">
        <f>SUM(A1:A2)</f>
        <v>30</v>
      </c>
      <c r="F4" s="8">
        <v>3</v>
      </c>
      <c r="G4">
        <v>3</v>
      </c>
    </row>
  </sheetData>
  <mergeCells count="1">
    <mergeCell ref="C1:C2"/>
  </mergeCells>
  <conditionalFormatting sqref="B1:B4">
    <cfRule type="cellIs" priority="1" stopIfTrue="1" operator="greaterThan">
      <formula>5</formula>
    </cfRule>
  </conditionalFormatting>
  <conditionalFormatting sqref="E3:E4">
    <cfRule type="cellIs" priority="2" stopIfTrue="1" operator="greaterThan">
      <formula>100</formula>
    </cfRule>
  </conditionalFormatting>
  <dataValidations count="1">
    <dataValidation type="whole" allowBlank="1" showInputMessage="1" showErrorMessage="1" sqref="A1:A2 E1:E2" xr:uid="{BE679CE3-C83F-499B-9949-6B7DBF1E4777}">
      <formula1>0</formula1>
      <formula2>99</formula2>
    </dataValidation>
  </dataValidations>
  <hyperlinks>
    <hyperlink ref="C3" r:id="rId1" display="https://example.com/source" xr:uid="{81DC006D-6369-4AFB-90F8-5CEF78890266}"/>
    <hyperlink ref="F4" r:id="rId2" display="https://example.com/destination" xr:uid="{F5EDC269-DAC9-4DBE-9E39-E27AB328DB9A}"/>
  </hyperlinks>
  <pageMargins left="0.7" right="0.7" top="0.75" bottom="0.75" header="0.3" footer="0.3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ED8F9-F329-4BFE-8E83-8556CC3CAFBF}">
  <dimension ref="A1:G4"/>
  <sheetViews>
    <sheetView workbookViewId="0">
      <selection activeCell="E1" sqref="E1:G4"/>
    </sheetView>
  </sheetViews>
  <sheetFormatPr defaultRowHeight="15" x14ac:dyDescent="0.25"/>
  <cols>
    <col min="1" max="1" width="15.7109375" customWidth="1"/>
    <col min="2" max="2" width="9.42578125" bestFit="1" customWidth="1"/>
  </cols>
  <sheetData>
    <row r="1" spans="1:7" x14ac:dyDescent="0.25">
      <c r="A1" s="3">
        <v>10</v>
      </c>
      <c r="B1" s="6">
        <v>43845</v>
      </c>
      <c r="C1" s="7" t="s">
        <v>1</v>
      </c>
      <c r="E1" s="3">
        <v>10</v>
      </c>
      <c r="F1" s="6">
        <v>43845</v>
      </c>
      <c r="G1" s="7" t="s">
        <v>1</v>
      </c>
    </row>
    <row r="2" spans="1:7" x14ac:dyDescent="0.25">
      <c r="A2" s="4">
        <f>A1*2</f>
        <v>20</v>
      </c>
      <c r="B2">
        <f>Other!A1+1</f>
        <v>1</v>
      </c>
      <c r="C2" s="7"/>
      <c r="E2" s="17">
        <f>E1*2</f>
        <v>20</v>
      </c>
      <c r="F2">
        <f>Other!E1+1</f>
        <v>1</v>
      </c>
      <c r="G2" s="7"/>
    </row>
    <row r="3" spans="1:7" x14ac:dyDescent="0.25">
      <c r="A3" t="s">
        <v>0</v>
      </c>
      <c r="B3" t="b">
        <v>1</v>
      </c>
      <c r="C3" s="8" t="s">
        <v>2</v>
      </c>
      <c r="E3" t="s">
        <v>0</v>
      </c>
      <c r="F3" t="b">
        <v>1</v>
      </c>
      <c r="G3" s="8" t="s">
        <v>2</v>
      </c>
    </row>
    <row r="4" spans="1:7" x14ac:dyDescent="0.25">
      <c r="A4" s="5"/>
      <c r="B4" t="e">
        <f>NA()</f>
        <v>#N/A</v>
      </c>
      <c r="C4" s="1">
        <f>SUM(A1:A2)</f>
        <v>30</v>
      </c>
      <c r="E4" s="5"/>
      <c r="F4" t="e">
        <f>NA()</f>
        <v>#N/A</v>
      </c>
      <c r="G4" s="1">
        <f>SUM(E1:E2)</f>
        <v>30</v>
      </c>
    </row>
  </sheetData>
  <mergeCells count="2">
    <mergeCell ref="C1:C2"/>
    <mergeCell ref="G1:G2"/>
  </mergeCells>
  <conditionalFormatting sqref="B1:B4">
    <cfRule type="cellIs" priority="2" stopIfTrue="1" operator="greaterThan">
      <formula>5</formula>
    </cfRule>
  </conditionalFormatting>
  <conditionalFormatting sqref="F1:F4">
    <cfRule type="cellIs" priority="1" stopIfTrue="1" operator="greaterThan">
      <formula>5</formula>
    </cfRule>
  </conditionalFormatting>
  <dataValidations count="1">
    <dataValidation type="whole" allowBlank="1" showInputMessage="1" showErrorMessage="1" sqref="A1:A2 E1:E2" xr:uid="{A0BB2CE7-8C52-4C42-8818-5A035553E555}">
      <formula1>0</formula1>
      <formula2>99</formula2>
    </dataValidation>
  </dataValidations>
  <hyperlinks>
    <hyperlink ref="C3" r:id="rId1" display="https://example.com/source" xr:uid="{2F9BCC57-77A5-4CD0-907A-DC68095CFCAE}"/>
    <hyperlink ref="G3" r:id="rId2" display="https://example.com/source" xr:uid="{6A7A7C67-7E99-41EF-9AD4-DCD5E991BB66}"/>
  </hyperlinks>
  <pageMargins left="0.7" right="0.7" top="0.75" bottom="0.75" header="0.3" footer="0.3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0B68F-E77F-4030-B68E-0E0DEFB65480}">
  <dimension ref="A1:G4"/>
  <sheetViews>
    <sheetView workbookViewId="0">
      <selection activeCell="E1" sqref="E1:G4"/>
    </sheetView>
  </sheetViews>
  <sheetFormatPr defaultRowHeight="15" x14ac:dyDescent="0.25"/>
  <cols>
    <col min="1" max="1" width="15.7109375" customWidth="1"/>
    <col min="2" max="2" width="9.42578125" bestFit="1" customWidth="1"/>
    <col min="5" max="5" width="15.7109375" customWidth="1"/>
    <col min="6" max="6" width="9.42578125" bestFit="1" customWidth="1"/>
  </cols>
  <sheetData>
    <row r="1" spans="1:7" x14ac:dyDescent="0.25">
      <c r="A1" s="3">
        <v>10</v>
      </c>
      <c r="B1" s="6">
        <v>43845</v>
      </c>
      <c r="C1" s="7" t="s">
        <v>1</v>
      </c>
      <c r="E1" s="10">
        <v>3</v>
      </c>
      <c r="F1">
        <v>3</v>
      </c>
      <c r="G1">
        <v>3</v>
      </c>
    </row>
    <row r="2" spans="1:7" x14ac:dyDescent="0.25">
      <c r="A2" s="4">
        <f>A1*2</f>
        <v>20</v>
      </c>
      <c r="B2">
        <f>Other!A1+1</f>
        <v>1</v>
      </c>
      <c r="C2" s="7"/>
      <c r="E2" s="12">
        <v>3</v>
      </c>
      <c r="F2">
        <v>3</v>
      </c>
      <c r="G2">
        <v>3</v>
      </c>
    </row>
    <row r="3" spans="1:7" x14ac:dyDescent="0.25">
      <c r="A3" t="s">
        <v>0</v>
      </c>
      <c r="B3" t="b">
        <v>1</v>
      </c>
      <c r="C3" s="8" t="s">
        <v>2</v>
      </c>
      <c r="E3">
        <f>E1+1</f>
        <v>4</v>
      </c>
      <c r="F3">
        <v>3</v>
      </c>
      <c r="G3">
        <v>3</v>
      </c>
    </row>
    <row r="4" spans="1:7" x14ac:dyDescent="0.25">
      <c r="A4" s="5"/>
      <c r="B4" t="e">
        <f>NA()</f>
        <v>#N/A</v>
      </c>
      <c r="C4" s="1">
        <f>SUM(A1:A2)</f>
        <v>30</v>
      </c>
      <c r="F4" s="8">
        <v>3</v>
      </c>
      <c r="G4">
        <v>3</v>
      </c>
    </row>
  </sheetData>
  <mergeCells count="1">
    <mergeCell ref="C1:C2"/>
  </mergeCells>
  <conditionalFormatting sqref="B1:B4">
    <cfRule type="cellIs" priority="1" stopIfTrue="1" operator="greaterThan">
      <formula>5</formula>
    </cfRule>
  </conditionalFormatting>
  <conditionalFormatting sqref="E3:E4">
    <cfRule type="cellIs" priority="2" stopIfTrue="1" operator="greaterThan">
      <formula>100</formula>
    </cfRule>
  </conditionalFormatting>
  <dataValidations count="2">
    <dataValidation type="whole" allowBlank="1" showInputMessage="1" showErrorMessage="1" sqref="A1:A2" xr:uid="{1A25B6EA-3CF3-4C61-A802-20F6C8CE8C78}">
      <formula1>0</formula1>
      <formula2>99</formula2>
    </dataValidation>
    <dataValidation type="whole" allowBlank="1" showInputMessage="1" showErrorMessage="1" sqref="G1:G2" xr:uid="{C2687778-D496-4381-BD64-7698043201DF}">
      <formula1>0</formula1>
      <formula2>9</formula2>
    </dataValidation>
  </dataValidations>
  <hyperlinks>
    <hyperlink ref="C3" r:id="rId1" display="https://example.com/source" xr:uid="{3FC380EC-9AE5-4E42-9237-EBB8704BA1B4}"/>
    <hyperlink ref="F4" r:id="rId2" display="https://example.com/destination" xr:uid="{45202619-B1A2-46BF-AE43-844ACC633D20}"/>
  </hyperlinks>
  <pageMargins left="0.7" right="0.7" top="0.75" bottom="0.75" header="0.3" footer="0.3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6F400-2322-401A-B4FA-85AC100AF988}">
  <dimension ref="A1:G4"/>
  <sheetViews>
    <sheetView workbookViewId="0">
      <selection activeCell="E1" sqref="E1:G4"/>
    </sheetView>
  </sheetViews>
  <sheetFormatPr defaultRowHeight="15" x14ac:dyDescent="0.25"/>
  <cols>
    <col min="1" max="1" width="15.7109375" customWidth="1"/>
    <col min="2" max="2" width="9.42578125" bestFit="1" customWidth="1"/>
  </cols>
  <sheetData>
    <row r="1" spans="1:7" x14ac:dyDescent="0.25">
      <c r="A1" s="3">
        <v>10</v>
      </c>
      <c r="B1" s="6">
        <v>43845</v>
      </c>
      <c r="C1" s="7" t="s">
        <v>1</v>
      </c>
      <c r="E1" s="18">
        <v>10</v>
      </c>
      <c r="F1" s="6">
        <v>43845</v>
      </c>
      <c r="G1" t="s">
        <v>1</v>
      </c>
    </row>
    <row r="2" spans="1:7" x14ac:dyDescent="0.25">
      <c r="A2" s="4">
        <f>A1*2</f>
        <v>20</v>
      </c>
      <c r="B2">
        <f>Other!A1+1</f>
        <v>1</v>
      </c>
      <c r="C2" s="7"/>
      <c r="E2" s="17">
        <f>E1*2</f>
        <v>20</v>
      </c>
      <c r="F2">
        <f>Other!E1+1</f>
        <v>1</v>
      </c>
    </row>
    <row r="3" spans="1:7" x14ac:dyDescent="0.25">
      <c r="A3" t="s">
        <v>0</v>
      </c>
      <c r="B3" t="b">
        <v>1</v>
      </c>
      <c r="C3" s="8" t="s">
        <v>2</v>
      </c>
      <c r="E3" t="s">
        <v>0</v>
      </c>
      <c r="F3" t="b">
        <v>1</v>
      </c>
      <c r="G3" t="s">
        <v>2</v>
      </c>
    </row>
    <row r="4" spans="1:7" x14ac:dyDescent="0.25">
      <c r="A4" s="5"/>
      <c r="B4" t="e">
        <f>NA()</f>
        <v>#N/A</v>
      </c>
      <c r="C4" s="1">
        <f>SUM(A1:A2)</f>
        <v>30</v>
      </c>
      <c r="F4" s="8" t="e">
        <f>NA()</f>
        <v>#N/A</v>
      </c>
      <c r="G4" s="1">
        <f>SUM(E1:E2)</f>
        <v>30</v>
      </c>
    </row>
  </sheetData>
  <mergeCells count="1">
    <mergeCell ref="C1:C2"/>
  </mergeCells>
  <conditionalFormatting sqref="B1:B4">
    <cfRule type="cellIs" priority="1" stopIfTrue="1" operator="greaterThan">
      <formula>5</formula>
    </cfRule>
  </conditionalFormatting>
  <conditionalFormatting sqref="E3:E4">
    <cfRule type="cellIs" priority="2" stopIfTrue="1" operator="greaterThan">
      <formula>100</formula>
    </cfRule>
  </conditionalFormatting>
  <dataValidations count="2">
    <dataValidation type="whole" allowBlank="1" showInputMessage="1" showErrorMessage="1" sqref="A1:A2" xr:uid="{421A98C5-9E58-4C23-8D6A-6A29F8BE729B}">
      <formula1>0</formula1>
      <formula2>99</formula2>
    </dataValidation>
    <dataValidation type="whole" allowBlank="1" showInputMessage="1" showErrorMessage="1" sqref="G1:G2" xr:uid="{9FBD0EB8-B107-4B8E-B44D-5340B0409C47}">
      <formula1>0</formula1>
      <formula2>9</formula2>
    </dataValidation>
  </dataValidations>
  <hyperlinks>
    <hyperlink ref="C3" r:id="rId1" display="https://example.com/source" xr:uid="{214EE508-700C-468B-A8D8-01E6A4A7752D}"/>
    <hyperlink ref="F4" r:id="rId2" display="https://example.com/destination" xr:uid="{9B02E5D1-29F3-4A00-BA70-99BC5B2545B3}"/>
  </hyperlinks>
  <pageMargins left="0.7" right="0.7" top="0.75" bottom="0.75" header="0.3" footer="0.3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338F0-1027-4208-8258-105D66B916F2}">
  <dimension ref="A1:G4"/>
  <sheetViews>
    <sheetView workbookViewId="0">
      <selection activeCell="E1" sqref="E1:G4"/>
    </sheetView>
  </sheetViews>
  <sheetFormatPr defaultRowHeight="15" x14ac:dyDescent="0.25"/>
  <cols>
    <col min="1" max="1" width="15.7109375" customWidth="1"/>
    <col min="2" max="2" width="9.42578125" bestFit="1" customWidth="1"/>
  </cols>
  <sheetData>
    <row r="1" spans="1:7" x14ac:dyDescent="0.25">
      <c r="A1" s="3">
        <v>10</v>
      </c>
      <c r="B1" s="6">
        <v>43845</v>
      </c>
      <c r="C1" s="7" t="s">
        <v>1</v>
      </c>
      <c r="E1" s="18">
        <v>10</v>
      </c>
      <c r="F1" s="6">
        <v>43845</v>
      </c>
      <c r="G1" t="s">
        <v>1</v>
      </c>
    </row>
    <row r="2" spans="1:7" x14ac:dyDescent="0.25">
      <c r="A2" s="4">
        <f>A1*2</f>
        <v>20</v>
      </c>
      <c r="B2">
        <f>Other!A1+1</f>
        <v>1</v>
      </c>
      <c r="C2" s="7"/>
      <c r="E2" s="17">
        <v>20</v>
      </c>
      <c r="F2">
        <v>1</v>
      </c>
    </row>
    <row r="3" spans="1:7" x14ac:dyDescent="0.25">
      <c r="A3" t="s">
        <v>0</v>
      </c>
      <c r="B3" t="b">
        <v>1</v>
      </c>
      <c r="C3" s="8" t="s">
        <v>2</v>
      </c>
      <c r="E3" t="s">
        <v>0</v>
      </c>
      <c r="F3" t="b">
        <v>1</v>
      </c>
      <c r="G3" t="s">
        <v>2</v>
      </c>
    </row>
    <row r="4" spans="1:7" x14ac:dyDescent="0.25">
      <c r="A4" s="5"/>
      <c r="B4" t="e">
        <f>NA()</f>
        <v>#N/A</v>
      </c>
      <c r="C4" s="1">
        <f>SUM(A1:A2)</f>
        <v>30</v>
      </c>
      <c r="F4" s="8" t="e">
        <v>#N/A</v>
      </c>
      <c r="G4" s="1">
        <v>30</v>
      </c>
    </row>
  </sheetData>
  <mergeCells count="1">
    <mergeCell ref="C1:C2"/>
  </mergeCells>
  <conditionalFormatting sqref="B1:B4">
    <cfRule type="cellIs" priority="1" stopIfTrue="1" operator="greaterThan">
      <formula>5</formula>
    </cfRule>
  </conditionalFormatting>
  <conditionalFormatting sqref="E3:E4">
    <cfRule type="cellIs" priority="2" stopIfTrue="1" operator="greaterThan">
      <formula>100</formula>
    </cfRule>
  </conditionalFormatting>
  <dataValidations count="2">
    <dataValidation type="whole" allowBlank="1" showInputMessage="1" showErrorMessage="1" sqref="A1:A2" xr:uid="{D52C7630-262E-44AC-917C-A6660EE02EAC}">
      <formula1>0</formula1>
      <formula2>99</formula2>
    </dataValidation>
    <dataValidation type="whole" allowBlank="1" showInputMessage="1" showErrorMessage="1" sqref="G1:G2" xr:uid="{EB1C459B-2800-464D-BF8F-B842F4C62A27}">
      <formula1>0</formula1>
      <formula2>9</formula2>
    </dataValidation>
  </dataValidations>
  <hyperlinks>
    <hyperlink ref="C3" r:id="rId1" display="https://example.com/source" xr:uid="{26BD2BA0-12E3-4A67-9128-054F379F53F9}"/>
    <hyperlink ref="F4" r:id="rId2" display="https://example.com/destination" xr:uid="{A5633F8A-8C75-4B95-AE54-14C92FDD81B9}"/>
  </hyperlinks>
  <pageMargins left="0.7" right="0.7" top="0.75" bottom="0.75" header="0.3" footer="0.3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C0B65-C2CF-43B4-932A-9C9C5DA1F70C}">
  <dimension ref="A1:G4"/>
  <sheetViews>
    <sheetView workbookViewId="0">
      <selection activeCell="E1" sqref="E1:G4"/>
    </sheetView>
  </sheetViews>
  <sheetFormatPr defaultRowHeight="15" x14ac:dyDescent="0.25"/>
  <cols>
    <col min="1" max="1" width="15.7109375" customWidth="1"/>
    <col min="2" max="2" width="9.42578125" bestFit="1" customWidth="1"/>
  </cols>
  <sheetData>
    <row r="1" spans="1:7" x14ac:dyDescent="0.25">
      <c r="A1" s="3">
        <v>10</v>
      </c>
      <c r="B1" s="6">
        <v>43845</v>
      </c>
      <c r="C1" s="7" t="s">
        <v>1</v>
      </c>
      <c r="E1" s="3">
        <v>10</v>
      </c>
      <c r="F1" s="6">
        <v>43845</v>
      </c>
      <c r="G1" s="7" t="s">
        <v>1</v>
      </c>
    </row>
    <row r="2" spans="1:7" x14ac:dyDescent="0.25">
      <c r="A2" s="4">
        <f>A1*2</f>
        <v>20</v>
      </c>
      <c r="B2">
        <f>Other!A1+1</f>
        <v>1</v>
      </c>
      <c r="C2" s="7"/>
      <c r="E2" s="4">
        <f>E1*2</f>
        <v>20</v>
      </c>
      <c r="F2">
        <f>Other!E1+1</f>
        <v>1</v>
      </c>
      <c r="G2" s="7"/>
    </row>
    <row r="3" spans="1:7" x14ac:dyDescent="0.25">
      <c r="A3" t="s">
        <v>0</v>
      </c>
      <c r="B3" t="b">
        <v>1</v>
      </c>
      <c r="C3" s="8" t="s">
        <v>2</v>
      </c>
      <c r="E3" t="s">
        <v>0</v>
      </c>
      <c r="F3" t="b">
        <v>1</v>
      </c>
      <c r="G3" s="8" t="s">
        <v>2</v>
      </c>
    </row>
    <row r="4" spans="1:7" x14ac:dyDescent="0.25">
      <c r="A4" s="5"/>
      <c r="B4" t="e">
        <f>NA()</f>
        <v>#N/A</v>
      </c>
      <c r="C4" s="1">
        <f>SUM(A1:A2)</f>
        <v>30</v>
      </c>
      <c r="E4" s="5"/>
      <c r="F4" t="e">
        <f>NA()</f>
        <v>#N/A</v>
      </c>
      <c r="G4" s="1">
        <f>SUM(E1:E2)</f>
        <v>30</v>
      </c>
    </row>
  </sheetData>
  <mergeCells count="2">
    <mergeCell ref="C1:C2"/>
    <mergeCell ref="G1:G2"/>
  </mergeCells>
  <conditionalFormatting sqref="B1:B4">
    <cfRule type="cellIs" priority="2" stopIfTrue="1" operator="greaterThan">
      <formula>5</formula>
    </cfRule>
  </conditionalFormatting>
  <conditionalFormatting sqref="E3:E4">
    <cfRule type="cellIs" priority="3" stopIfTrue="1" operator="greaterThan">
      <formula>100</formula>
    </cfRule>
  </conditionalFormatting>
  <conditionalFormatting sqref="F1:F4">
    <cfRule type="cellIs" priority="1" stopIfTrue="1" operator="greaterThan">
      <formula>5</formula>
    </cfRule>
  </conditionalFormatting>
  <dataValidations count="1">
    <dataValidation type="whole" allowBlank="1" showInputMessage="1" showErrorMessage="1" sqref="A1:A2 E1:E2" xr:uid="{90DC4DDE-B8FE-4F5B-9AD1-5C5E356E1BBB}">
      <formula1>0</formula1>
      <formula2>99</formula2>
    </dataValidation>
  </dataValidations>
  <hyperlinks>
    <hyperlink ref="C3" r:id="rId1" display="https://example.com/source" xr:uid="{D6F4FD14-06BD-4372-96D3-EBB9544721AC}"/>
    <hyperlink ref="G3" r:id="rId2" display="https://example.com/source" xr:uid="{A32AEB14-5E98-4765-831C-E14713F944F1}"/>
  </hyperlinks>
  <pageMargins left="0.7" right="0.7" top="0.75" bottom="0.75" header="0.3" footer="0.3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67082-BEAA-4D28-8305-3BFF8AFE9E25}">
  <dimension ref="A1:G4"/>
  <sheetViews>
    <sheetView workbookViewId="0">
      <selection activeCell="E1" sqref="E1:G4"/>
    </sheetView>
  </sheetViews>
  <sheetFormatPr defaultRowHeight="15" x14ac:dyDescent="0.25"/>
  <cols>
    <col min="1" max="1" width="15.7109375" customWidth="1"/>
    <col min="2" max="2" width="9.42578125" bestFit="1" customWidth="1"/>
  </cols>
  <sheetData>
    <row r="1" spans="1:7" x14ac:dyDescent="0.25">
      <c r="A1" s="3">
        <v>10</v>
      </c>
      <c r="B1" s="6">
        <v>43845</v>
      </c>
      <c r="C1" s="7" t="s">
        <v>1</v>
      </c>
      <c r="E1" s="3">
        <v>10</v>
      </c>
      <c r="F1" s="6">
        <v>43845</v>
      </c>
      <c r="G1" s="7" t="s">
        <v>1</v>
      </c>
    </row>
    <row r="2" spans="1:7" x14ac:dyDescent="0.25">
      <c r="A2" s="4">
        <f>A1*2</f>
        <v>20</v>
      </c>
      <c r="B2">
        <f>Other!A1+1</f>
        <v>1</v>
      </c>
      <c r="C2" s="7"/>
      <c r="E2" s="4">
        <f>E1*2</f>
        <v>20</v>
      </c>
      <c r="F2">
        <f>Other!E1+1</f>
        <v>1</v>
      </c>
      <c r="G2" s="7"/>
    </row>
    <row r="3" spans="1:7" x14ac:dyDescent="0.25">
      <c r="A3" t="s">
        <v>0</v>
      </c>
      <c r="B3" t="b">
        <v>1</v>
      </c>
      <c r="C3" s="8" t="s">
        <v>2</v>
      </c>
      <c r="E3" t="s">
        <v>0</v>
      </c>
      <c r="F3" t="b">
        <v>1</v>
      </c>
      <c r="G3" s="8" t="s">
        <v>2</v>
      </c>
    </row>
    <row r="4" spans="1:7" x14ac:dyDescent="0.25">
      <c r="A4" s="5"/>
      <c r="B4" t="e">
        <f>NA()</f>
        <v>#N/A</v>
      </c>
      <c r="C4" s="1">
        <f>SUM(A1:A2)</f>
        <v>30</v>
      </c>
      <c r="F4" t="e">
        <f>NA()</f>
        <v>#N/A</v>
      </c>
      <c r="G4" s="1">
        <f>SUM(E1:E2)</f>
        <v>30</v>
      </c>
    </row>
  </sheetData>
  <mergeCells count="2">
    <mergeCell ref="C1:C2"/>
    <mergeCell ref="G1:G2"/>
  </mergeCells>
  <conditionalFormatting sqref="B1:B4">
    <cfRule type="cellIs" priority="2" stopIfTrue="1" operator="greaterThan">
      <formula>5</formula>
    </cfRule>
  </conditionalFormatting>
  <conditionalFormatting sqref="E3:E4">
    <cfRule type="cellIs" priority="3" stopIfTrue="1" operator="greaterThan">
      <formula>100</formula>
    </cfRule>
  </conditionalFormatting>
  <conditionalFormatting sqref="F1:F4">
    <cfRule type="cellIs" priority="1" stopIfTrue="1" operator="greaterThan">
      <formula>5</formula>
    </cfRule>
  </conditionalFormatting>
  <dataValidations count="2">
    <dataValidation type="whole" allowBlank="1" showInputMessage="1" showErrorMessage="1" sqref="A1:A2 E1:E2" xr:uid="{383FAA38-E5F1-4498-B8A3-A775C3BFCAC4}">
      <formula1>0</formula1>
      <formula2>99</formula2>
    </dataValidation>
    <dataValidation type="whole" allowBlank="1" showInputMessage="1" showErrorMessage="1" sqref="G1:G2" xr:uid="{9977884D-CE2E-48DC-98F9-72FD1D37A631}">
      <formula1>0</formula1>
      <formula2>9</formula2>
    </dataValidation>
  </dataValidations>
  <hyperlinks>
    <hyperlink ref="C3" r:id="rId1" display="https://example.com/source" xr:uid="{19B5546D-A302-4B44-9E2B-7A37AC9E6E6A}"/>
    <hyperlink ref="F4" r:id="rId2" display="https://example.com/destination" xr:uid="{542A4DC0-B76A-4202-86A0-328E32F4D198}"/>
    <hyperlink ref="G3" r:id="rId3" display="https://example.com/source" xr:uid="{EBC1D629-3967-4AD0-982E-B43A542CA825}"/>
  </hyperlinks>
  <pageMargins left="0.7" right="0.7" top="0.75" bottom="0.75" header="0.3" footer="0.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4BB0F-1E81-434A-93A3-7CEED4F72890}">
  <dimension ref="A1:H4"/>
  <sheetViews>
    <sheetView workbookViewId="0">
      <selection activeCell="E1" sqref="E1:H3"/>
    </sheetView>
  </sheetViews>
  <sheetFormatPr defaultRowHeight="15" x14ac:dyDescent="0.25"/>
  <cols>
    <col min="1" max="1" width="15.7109375" customWidth="1"/>
    <col min="2" max="2" width="9.42578125" bestFit="1" customWidth="1"/>
  </cols>
  <sheetData>
    <row r="1" spans="1:8" x14ac:dyDescent="0.25">
      <c r="A1" s="3">
        <v>10</v>
      </c>
      <c r="B1" s="6">
        <v>43845</v>
      </c>
      <c r="C1" s="7" t="s">
        <v>1</v>
      </c>
      <c r="E1" s="3">
        <v>10</v>
      </c>
      <c r="F1" s="4">
        <f>E1*2</f>
        <v>20</v>
      </c>
      <c r="G1" t="s">
        <v>0</v>
      </c>
      <c r="H1" s="5"/>
    </row>
    <row r="2" spans="1:8" x14ac:dyDescent="0.25">
      <c r="A2" s="4">
        <f>A1*2</f>
        <v>20</v>
      </c>
      <c r="B2">
        <f>Other!A1+1</f>
        <v>1</v>
      </c>
      <c r="C2" s="7"/>
      <c r="E2" s="6">
        <v>43845</v>
      </c>
      <c r="F2">
        <f>Other!E1+1</f>
        <v>1</v>
      </c>
      <c r="G2" t="b">
        <v>1</v>
      </c>
      <c r="H2" t="e">
        <f>NA()</f>
        <v>#N/A</v>
      </c>
    </row>
    <row r="3" spans="1:8" x14ac:dyDescent="0.25">
      <c r="A3" t="s">
        <v>0</v>
      </c>
      <c r="B3" t="b">
        <v>1</v>
      </c>
      <c r="C3" s="8" t="s">
        <v>2</v>
      </c>
      <c r="E3" s="7" t="s">
        <v>1</v>
      </c>
      <c r="F3" s="7"/>
      <c r="G3" s="8" t="s">
        <v>2</v>
      </c>
      <c r="H3" s="1">
        <f>SUM(E1:F1)</f>
        <v>30</v>
      </c>
    </row>
    <row r="4" spans="1:8" x14ac:dyDescent="0.25">
      <c r="A4" s="5"/>
      <c r="B4" t="e">
        <f>NA()</f>
        <v>#N/A</v>
      </c>
      <c r="C4" s="1">
        <f>SUM(A1:A2)</f>
        <v>30</v>
      </c>
      <c r="F4" s="8">
        <v>3</v>
      </c>
      <c r="G4">
        <v>3</v>
      </c>
    </row>
  </sheetData>
  <mergeCells count="2">
    <mergeCell ref="C1:C2"/>
    <mergeCell ref="E3:F3"/>
  </mergeCells>
  <conditionalFormatting sqref="B1:B4">
    <cfRule type="cellIs" priority="2" stopIfTrue="1" operator="greaterThan">
      <formula>5</formula>
    </cfRule>
  </conditionalFormatting>
  <conditionalFormatting sqref="E4">
    <cfRule type="cellIs" priority="3" stopIfTrue="1" operator="greaterThan">
      <formula>100</formula>
    </cfRule>
  </conditionalFormatting>
  <conditionalFormatting sqref="E2:H2">
    <cfRule type="cellIs" priority="1" stopIfTrue="1" operator="greaterThan">
      <formula>5</formula>
    </cfRule>
  </conditionalFormatting>
  <dataValidations count="1">
    <dataValidation type="whole" allowBlank="1" showInputMessage="1" showErrorMessage="1" sqref="A1:A2 E1:F1" xr:uid="{782D6B32-409F-496C-8786-C686EF957B75}">
      <formula1>0</formula1>
      <formula2>99</formula2>
    </dataValidation>
  </dataValidations>
  <hyperlinks>
    <hyperlink ref="C3" r:id="rId1" display="https://example.com/source" xr:uid="{5A3EA0BD-7F7F-4C8F-88F7-022CBB7D18C8}"/>
    <hyperlink ref="F4" r:id="rId2" display="https://example.com/destination" xr:uid="{7E8B5859-BFFA-454A-A862-9C72C8B00F9A}"/>
    <hyperlink ref="G3" r:id="rId3" display="https://example.com/source" xr:uid="{09467D5C-E31E-458A-BA41-5A073F78B51A}"/>
  </hyperlinks>
  <pageMargins left="0.7" right="0.7" top="0.75" bottom="0.75" header="0.3" footer="0.3"/>
  <legacyDrawing r:id="rId4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A3F79-5A0C-43AD-B3CD-A65898F3A0A4}">
  <dimension ref="A1:G4"/>
  <sheetViews>
    <sheetView workbookViewId="0">
      <selection activeCell="E1" sqref="E1:G4"/>
    </sheetView>
  </sheetViews>
  <sheetFormatPr defaultRowHeight="15" x14ac:dyDescent="0.25"/>
  <cols>
    <col min="1" max="1" width="15.7109375" customWidth="1"/>
    <col min="2" max="2" width="9.42578125" bestFit="1" customWidth="1"/>
  </cols>
  <sheetData>
    <row r="1" spans="1:7" x14ac:dyDescent="0.25">
      <c r="A1" s="3">
        <v>10</v>
      </c>
      <c r="B1" s="6">
        <v>43845</v>
      </c>
      <c r="C1" s="7" t="s">
        <v>1</v>
      </c>
      <c r="E1" s="10">
        <v>13</v>
      </c>
      <c r="F1">
        <v>43848</v>
      </c>
      <c r="G1">
        <v>3</v>
      </c>
    </row>
    <row r="2" spans="1:7" x14ac:dyDescent="0.25">
      <c r="A2" s="4">
        <f>A1*2</f>
        <v>20</v>
      </c>
      <c r="B2">
        <f>Other!A1+1</f>
        <v>1</v>
      </c>
      <c r="C2" s="7"/>
      <c r="E2" s="12">
        <v>23</v>
      </c>
      <c r="F2">
        <v>4</v>
      </c>
      <c r="G2">
        <v>3</v>
      </c>
    </row>
    <row r="3" spans="1:7" x14ac:dyDescent="0.25">
      <c r="A3" t="s">
        <v>0</v>
      </c>
      <c r="B3" t="b">
        <v>1</v>
      </c>
      <c r="C3" s="8" t="s">
        <v>2</v>
      </c>
      <c r="E3">
        <f>E1+1</f>
        <v>14</v>
      </c>
      <c r="F3">
        <v>3</v>
      </c>
      <c r="G3">
        <v>3</v>
      </c>
    </row>
    <row r="4" spans="1:7" x14ac:dyDescent="0.25">
      <c r="A4" s="5"/>
      <c r="B4" t="e">
        <f>NA()</f>
        <v>#N/A</v>
      </c>
      <c r="C4" s="1">
        <f>SUM(A1:A2)</f>
        <v>30</v>
      </c>
      <c r="F4" s="8">
        <v>3</v>
      </c>
      <c r="G4">
        <v>33</v>
      </c>
    </row>
  </sheetData>
  <mergeCells count="1">
    <mergeCell ref="C1:C2"/>
  </mergeCells>
  <conditionalFormatting sqref="B1:B4">
    <cfRule type="cellIs" priority="1" stopIfTrue="1" operator="greaterThan">
      <formula>5</formula>
    </cfRule>
  </conditionalFormatting>
  <conditionalFormatting sqref="E3:E4">
    <cfRule type="cellIs" priority="2" stopIfTrue="1" operator="greaterThan">
      <formula>100</formula>
    </cfRule>
  </conditionalFormatting>
  <dataValidations count="2">
    <dataValidation type="whole" allowBlank="1" showInputMessage="1" showErrorMessage="1" sqref="A1:A2" xr:uid="{40237C9D-290C-438B-9923-EE034C9D924F}">
      <formula1>0</formula1>
      <formula2>99</formula2>
    </dataValidation>
    <dataValidation type="whole" allowBlank="1" showInputMessage="1" showErrorMessage="1" sqref="G1:G2" xr:uid="{9A00715F-1E76-4FC7-BD67-CACAD538BC3E}">
      <formula1>0</formula1>
      <formula2>9</formula2>
    </dataValidation>
  </dataValidations>
  <hyperlinks>
    <hyperlink ref="C3" r:id="rId1" display="https://example.com/source" xr:uid="{09858104-3712-4419-B96C-345CF2BEAB1D}"/>
    <hyperlink ref="F4" r:id="rId2" display="https://example.com/destination" xr:uid="{58F66D61-9533-4289-994C-CFAC9A6F5176}"/>
  </hyperlinks>
  <pageMargins left="0.7" right="0.7" top="0.75" bottom="0.75" header="0.3" footer="0.3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0CDF0-9183-4897-8959-57AD11D40770}">
  <dimension ref="A1:G4"/>
  <sheetViews>
    <sheetView workbookViewId="0">
      <selection activeCell="E1" sqref="E1:G4"/>
    </sheetView>
  </sheetViews>
  <sheetFormatPr defaultRowHeight="15" x14ac:dyDescent="0.25"/>
  <cols>
    <col min="1" max="1" width="15.7109375" customWidth="1"/>
    <col min="2" max="2" width="9.42578125" bestFit="1" customWidth="1"/>
  </cols>
  <sheetData>
    <row r="1" spans="1:7" x14ac:dyDescent="0.25">
      <c r="A1" s="3">
        <v>10</v>
      </c>
      <c r="B1" s="6">
        <v>43845</v>
      </c>
      <c r="C1" s="7" t="s">
        <v>1</v>
      </c>
      <c r="E1" s="10">
        <v>-7</v>
      </c>
      <c r="F1">
        <v>-43842</v>
      </c>
      <c r="G1">
        <v>3</v>
      </c>
    </row>
    <row r="2" spans="1:7" x14ac:dyDescent="0.25">
      <c r="A2" s="4">
        <f>A1*2</f>
        <v>20</v>
      </c>
      <c r="B2">
        <f>Other!A1+1</f>
        <v>1</v>
      </c>
      <c r="C2" s="7"/>
      <c r="E2" s="12">
        <v>-17</v>
      </c>
      <c r="F2">
        <v>2</v>
      </c>
      <c r="G2">
        <v>3</v>
      </c>
    </row>
    <row r="3" spans="1:7" x14ac:dyDescent="0.25">
      <c r="A3" t="s">
        <v>0</v>
      </c>
      <c r="B3" t="b">
        <v>1</v>
      </c>
      <c r="C3" s="8" t="s">
        <v>2</v>
      </c>
      <c r="E3">
        <f>E1+1</f>
        <v>-6</v>
      </c>
      <c r="F3">
        <v>3</v>
      </c>
      <c r="G3">
        <v>3</v>
      </c>
    </row>
    <row r="4" spans="1:7" x14ac:dyDescent="0.25">
      <c r="A4" s="5"/>
      <c r="B4" t="e">
        <f>NA()</f>
        <v>#N/A</v>
      </c>
      <c r="C4" s="1">
        <f>SUM(A1:A2)</f>
        <v>30</v>
      </c>
      <c r="F4" s="8">
        <v>3</v>
      </c>
      <c r="G4">
        <v>-27</v>
      </c>
    </row>
  </sheetData>
  <mergeCells count="1">
    <mergeCell ref="C1:C2"/>
  </mergeCells>
  <conditionalFormatting sqref="B1:B4">
    <cfRule type="cellIs" priority="1" stopIfTrue="1" operator="greaterThan">
      <formula>5</formula>
    </cfRule>
  </conditionalFormatting>
  <conditionalFormatting sqref="E3:E4">
    <cfRule type="cellIs" priority="2" stopIfTrue="1" operator="greaterThan">
      <formula>100</formula>
    </cfRule>
  </conditionalFormatting>
  <dataValidations count="2">
    <dataValidation type="whole" allowBlank="1" showInputMessage="1" showErrorMessage="1" sqref="A1:A2" xr:uid="{02C640C2-29BE-42A4-904D-A834AD8D62C7}">
      <formula1>0</formula1>
      <formula2>99</formula2>
    </dataValidation>
    <dataValidation type="whole" allowBlank="1" showInputMessage="1" showErrorMessage="1" sqref="G1:G2" xr:uid="{AC7DFF88-31A2-4493-8443-A733F9FEFEB7}">
      <formula1>0</formula1>
      <formula2>9</formula2>
    </dataValidation>
  </dataValidations>
  <hyperlinks>
    <hyperlink ref="C3" r:id="rId1" display="https://example.com/source" xr:uid="{420CCD91-2B46-4035-B920-A231CF636BAA}"/>
    <hyperlink ref="F4" r:id="rId2" display="https://example.com/destination" xr:uid="{AF6F0B84-204A-49EE-BF8F-B45F9C4FD317}"/>
  </hyperlinks>
  <pageMargins left="0.7" right="0.7" top="0.75" bottom="0.75" header="0.3" footer="0.3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80F5C-AEFE-4E6B-9A9B-E229759A40B8}">
  <dimension ref="A1:G4"/>
  <sheetViews>
    <sheetView workbookViewId="0">
      <selection activeCell="E1" sqref="E1:G4"/>
    </sheetView>
  </sheetViews>
  <sheetFormatPr defaultRowHeight="15" x14ac:dyDescent="0.25"/>
  <cols>
    <col min="1" max="1" width="15.7109375" customWidth="1"/>
    <col min="2" max="2" width="9.42578125" bestFit="1" customWidth="1"/>
  </cols>
  <sheetData>
    <row r="1" spans="1:7" x14ac:dyDescent="0.25">
      <c r="A1" s="3">
        <v>10</v>
      </c>
      <c r="B1" s="6">
        <v>43845</v>
      </c>
      <c r="C1" s="7" t="s">
        <v>1</v>
      </c>
      <c r="E1" s="10">
        <v>30</v>
      </c>
      <c r="F1">
        <v>131535</v>
      </c>
      <c r="G1">
        <v>3</v>
      </c>
    </row>
    <row r="2" spans="1:7" x14ac:dyDescent="0.25">
      <c r="A2" s="4">
        <f>A1*2</f>
        <v>20</v>
      </c>
      <c r="B2">
        <f>Other!A1+1</f>
        <v>1</v>
      </c>
      <c r="C2" s="7"/>
      <c r="E2" s="12">
        <v>60</v>
      </c>
      <c r="F2">
        <v>3</v>
      </c>
      <c r="G2">
        <v>0</v>
      </c>
    </row>
    <row r="3" spans="1:7" x14ac:dyDescent="0.25">
      <c r="A3" t="s">
        <v>0</v>
      </c>
      <c r="B3" t="b">
        <v>1</v>
      </c>
      <c r="C3" s="8" t="s">
        <v>2</v>
      </c>
      <c r="E3">
        <f>E1+1</f>
        <v>31</v>
      </c>
      <c r="F3">
        <v>3</v>
      </c>
      <c r="G3">
        <v>3</v>
      </c>
    </row>
    <row r="4" spans="1:7" x14ac:dyDescent="0.25">
      <c r="A4" s="5"/>
      <c r="B4" t="e">
        <f>NA()</f>
        <v>#N/A</v>
      </c>
      <c r="C4" s="1">
        <f>SUM(A1:A2)</f>
        <v>30</v>
      </c>
      <c r="F4" s="8">
        <v>3</v>
      </c>
      <c r="G4">
        <v>90</v>
      </c>
    </row>
  </sheetData>
  <mergeCells count="1">
    <mergeCell ref="C1:C2"/>
  </mergeCells>
  <conditionalFormatting sqref="B1:B4">
    <cfRule type="cellIs" priority="1" stopIfTrue="1" operator="greaterThan">
      <formula>5</formula>
    </cfRule>
  </conditionalFormatting>
  <conditionalFormatting sqref="E3:E4">
    <cfRule type="cellIs" priority="2" stopIfTrue="1" operator="greaterThan">
      <formula>100</formula>
    </cfRule>
  </conditionalFormatting>
  <dataValidations count="2">
    <dataValidation type="whole" allowBlank="1" showInputMessage="1" showErrorMessage="1" sqref="A1:A2" xr:uid="{20D08AA9-7957-4040-8804-00FD1FCEA3FE}">
      <formula1>0</formula1>
      <formula2>99</formula2>
    </dataValidation>
    <dataValidation type="whole" allowBlank="1" showInputMessage="1" showErrorMessage="1" sqref="G1:G2" xr:uid="{8C33E7C6-F172-42C6-99CF-5DEE512C01C4}">
      <formula1>0</formula1>
      <formula2>9</formula2>
    </dataValidation>
  </dataValidations>
  <hyperlinks>
    <hyperlink ref="C3" r:id="rId1" display="https://example.com/source" xr:uid="{EA097F73-DF74-4692-AB6A-266AF05D1B6F}"/>
    <hyperlink ref="F4" r:id="rId2" display="https://example.com/destination" xr:uid="{8D567845-B01F-4AD0-9316-28D0AB51E5A5}"/>
  </hyperlinks>
  <pageMargins left="0.7" right="0.7" top="0.75" bottom="0.75" header="0.3" footer="0.3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7A725-3A6A-40E6-A606-06DB176FE534}">
  <dimension ref="A1:G4"/>
  <sheetViews>
    <sheetView workbookViewId="0">
      <selection activeCell="E1" sqref="E1:G4"/>
    </sheetView>
  </sheetViews>
  <sheetFormatPr defaultRowHeight="15" x14ac:dyDescent="0.25"/>
  <cols>
    <col min="1" max="1" width="15.7109375" customWidth="1"/>
    <col min="2" max="2" width="9.42578125" bestFit="1" customWidth="1"/>
  </cols>
  <sheetData>
    <row r="1" spans="1:7" x14ac:dyDescent="0.25">
      <c r="A1" s="3">
        <v>10</v>
      </c>
      <c r="B1" s="6">
        <v>43845</v>
      </c>
      <c r="C1" s="7" t="s">
        <v>1</v>
      </c>
      <c r="E1" s="10">
        <v>0.3</v>
      </c>
      <c r="F1">
        <v>6.842285323297981E-5</v>
      </c>
      <c r="G1">
        <v>3</v>
      </c>
    </row>
    <row r="2" spans="1:7" x14ac:dyDescent="0.25">
      <c r="A2" s="4">
        <f>A1*2</f>
        <v>20</v>
      </c>
      <c r="B2">
        <f>Other!A1+1</f>
        <v>1</v>
      </c>
      <c r="C2" s="7"/>
      <c r="E2" s="12">
        <v>0.15</v>
      </c>
      <c r="F2">
        <v>3</v>
      </c>
      <c r="G2" t="e">
        <v>#DIV/0!</v>
      </c>
    </row>
    <row r="3" spans="1:7" x14ac:dyDescent="0.25">
      <c r="A3" t="s">
        <v>0</v>
      </c>
      <c r="B3" t="b">
        <v>1</v>
      </c>
      <c r="C3" s="8" t="s">
        <v>2</v>
      </c>
      <c r="E3">
        <f>E1+1</f>
        <v>1.3</v>
      </c>
      <c r="F3">
        <v>3</v>
      </c>
      <c r="G3">
        <v>3</v>
      </c>
    </row>
    <row r="4" spans="1:7" x14ac:dyDescent="0.25">
      <c r="A4" s="5"/>
      <c r="B4" t="e">
        <f>NA()</f>
        <v>#N/A</v>
      </c>
      <c r="C4" s="1">
        <f>SUM(A1:A2)</f>
        <v>30</v>
      </c>
      <c r="F4" s="8">
        <v>3</v>
      </c>
      <c r="G4">
        <v>0.1</v>
      </c>
    </row>
  </sheetData>
  <mergeCells count="1">
    <mergeCell ref="C1:C2"/>
  </mergeCells>
  <conditionalFormatting sqref="B1:B4">
    <cfRule type="cellIs" priority="1" stopIfTrue="1" operator="greaterThan">
      <formula>5</formula>
    </cfRule>
  </conditionalFormatting>
  <conditionalFormatting sqref="E3:E4">
    <cfRule type="cellIs" priority="2" stopIfTrue="1" operator="greaterThan">
      <formula>100</formula>
    </cfRule>
  </conditionalFormatting>
  <dataValidations count="2">
    <dataValidation type="whole" allowBlank="1" showInputMessage="1" showErrorMessage="1" sqref="A1:A2" xr:uid="{9E8F3451-36A3-44A5-A97B-3C7BF7AA5C59}">
      <formula1>0</formula1>
      <formula2>99</formula2>
    </dataValidation>
    <dataValidation type="whole" allowBlank="1" showInputMessage="1" showErrorMessage="1" sqref="G1:G2" xr:uid="{961D8109-FA0A-49FD-AD64-D8E4A6E82E05}">
      <formula1>0</formula1>
      <formula2>9</formula2>
    </dataValidation>
  </dataValidations>
  <hyperlinks>
    <hyperlink ref="C3" r:id="rId1" display="https://example.com/source" xr:uid="{F94EF8DB-417C-4A5C-8C19-92B3BEDA2C1A}"/>
    <hyperlink ref="F4" r:id="rId2" display="https://example.com/destination" xr:uid="{7EB063E2-5701-4854-9F00-6722921B3C41}"/>
  </hyperlinks>
  <pageMargins left="0.7" right="0.7" top="0.75" bottom="0.75" header="0.3" footer="0.3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EDEA7-E99B-4EF0-BD33-E370F115E0AF}">
  <dimension ref="A1:G4"/>
  <sheetViews>
    <sheetView workbookViewId="0">
      <selection activeCell="E1" sqref="E1:G4"/>
    </sheetView>
  </sheetViews>
  <sheetFormatPr defaultRowHeight="15" x14ac:dyDescent="0.25"/>
  <cols>
    <col min="1" max="1" width="15.7109375" customWidth="1"/>
    <col min="2" max="2" width="9.42578125" bestFit="1" customWidth="1"/>
  </cols>
  <sheetData>
    <row r="1" spans="1:7" x14ac:dyDescent="0.25">
      <c r="A1" s="3">
        <v>10</v>
      </c>
      <c r="B1" s="6">
        <v>43845</v>
      </c>
      <c r="C1" s="7" t="s">
        <v>1</v>
      </c>
      <c r="E1" s="3">
        <v>13</v>
      </c>
      <c r="F1" s="6">
        <v>43848</v>
      </c>
      <c r="G1" s="7">
        <v>3</v>
      </c>
    </row>
    <row r="2" spans="1:7" x14ac:dyDescent="0.25">
      <c r="A2" s="4">
        <f>A1*2</f>
        <v>20</v>
      </c>
      <c r="B2">
        <f>Other!A1+1</f>
        <v>1</v>
      </c>
      <c r="C2" s="7"/>
      <c r="E2" s="4">
        <f>3+(E1*2)</f>
        <v>29</v>
      </c>
      <c r="F2">
        <f>3+(Other!E1+1)</f>
        <v>4</v>
      </c>
      <c r="G2" s="7">
        <v>3</v>
      </c>
    </row>
    <row r="3" spans="1:7" x14ac:dyDescent="0.25">
      <c r="A3" t="s">
        <v>0</v>
      </c>
      <c r="B3" t="b">
        <v>1</v>
      </c>
      <c r="C3" s="8" t="s">
        <v>2</v>
      </c>
      <c r="E3">
        <f>E1+1</f>
        <v>14</v>
      </c>
      <c r="F3">
        <v>3</v>
      </c>
      <c r="G3" s="8">
        <v>3</v>
      </c>
    </row>
    <row r="4" spans="1:7" x14ac:dyDescent="0.25">
      <c r="A4" s="5"/>
      <c r="B4" t="e">
        <f>NA()</f>
        <v>#N/A</v>
      </c>
      <c r="C4" s="1">
        <f>SUM(A1:A2)</f>
        <v>30</v>
      </c>
      <c r="E4" s="5"/>
      <c r="F4" t="e">
        <f>3+(NA())</f>
        <v>#N/A</v>
      </c>
      <c r="G4" s="1">
        <f>3+(SUM(E1:E2))</f>
        <v>45</v>
      </c>
    </row>
  </sheetData>
  <mergeCells count="2">
    <mergeCell ref="C1:C2"/>
    <mergeCell ref="G1:G2"/>
  </mergeCells>
  <conditionalFormatting sqref="B1:B4">
    <cfRule type="cellIs" priority="2" stopIfTrue="1" operator="greaterThan">
      <formula>5</formula>
    </cfRule>
  </conditionalFormatting>
  <conditionalFormatting sqref="F1:F4">
    <cfRule type="cellIs" priority="1" stopIfTrue="1" operator="greaterThan">
      <formula>5</formula>
    </cfRule>
  </conditionalFormatting>
  <dataValidations count="1">
    <dataValidation type="whole" allowBlank="1" showInputMessage="1" showErrorMessage="1" sqref="A1:A2 E1:E2" xr:uid="{DDCA70FC-AB6D-4EE4-A6F6-88EA25509ACA}">
      <formula1>0</formula1>
      <formula2>99</formula2>
    </dataValidation>
  </dataValidations>
  <hyperlinks>
    <hyperlink ref="C3" r:id="rId1" display="https://example.com/source" xr:uid="{B2F934E9-E8FB-44C9-8BBA-3F56CD8E8537}"/>
    <hyperlink ref="G3" r:id="rId2" display="https://example.com/source" xr:uid="{740B5FE3-783B-4E58-AB5B-28229D6F9A8B}"/>
  </hyperlinks>
  <pageMargins left="0.7" right="0.7" top="0.75" bottom="0.75" header="0.3" footer="0.3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807F1-7114-4B9D-B293-230E4DFCDE51}">
  <dimension ref="A1:H4"/>
  <sheetViews>
    <sheetView workbookViewId="0">
      <selection activeCell="H1" sqref="H1:H4"/>
    </sheetView>
  </sheetViews>
  <sheetFormatPr defaultRowHeight="15" x14ac:dyDescent="0.25"/>
  <sheetData>
    <row r="1" spans="1:8" x14ac:dyDescent="0.25">
      <c r="E1" s="9"/>
      <c r="H1">
        <v>3</v>
      </c>
    </row>
    <row r="2" spans="1:8" x14ac:dyDescent="0.25">
      <c r="A2" t="str">
        <f>"x"</f>
        <v>x</v>
      </c>
      <c r="E2" s="9" t="s">
        <v>6</v>
      </c>
      <c r="H2" t="s">
        <v>6</v>
      </c>
    </row>
    <row r="3" spans="1:8" x14ac:dyDescent="0.25">
      <c r="A3" s="13" t="s">
        <v>4</v>
      </c>
      <c r="E3" s="9" t="s">
        <v>3</v>
      </c>
      <c r="H3" t="s">
        <v>3</v>
      </c>
    </row>
    <row r="4" spans="1:8" x14ac:dyDescent="0.25">
      <c r="A4" t="str">
        <f>""</f>
        <v/>
      </c>
      <c r="E4" s="9" t="s">
        <v>11</v>
      </c>
      <c r="H4" t="s">
        <v>11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11AF8-1FB0-41D7-BF28-8FA064BC0497}">
  <dimension ref="A1:E3"/>
  <sheetViews>
    <sheetView workbookViewId="0">
      <selection activeCell="E1" sqref="E1:F3"/>
    </sheetView>
  </sheetViews>
  <sheetFormatPr defaultRowHeight="15" x14ac:dyDescent="0.25"/>
  <sheetData>
    <row r="1" spans="1:5" x14ac:dyDescent="0.25">
      <c r="A1">
        <v>1</v>
      </c>
      <c r="E1">
        <v>3</v>
      </c>
    </row>
    <row r="2" spans="1:5" x14ac:dyDescent="0.25">
      <c r="E2">
        <v>3</v>
      </c>
    </row>
    <row r="3" spans="1:5" x14ac:dyDescent="0.25">
      <c r="A3">
        <v>7</v>
      </c>
      <c r="B3">
        <v>7</v>
      </c>
      <c r="E3" t="s">
        <v>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2591C-4EC3-4DED-B5F7-76874DAA2D8E}">
  <dimension ref="A1:F1"/>
  <sheetViews>
    <sheetView workbookViewId="0">
      <selection activeCell="E1" sqref="E1:F1"/>
    </sheetView>
  </sheetViews>
  <sheetFormatPr defaultRowHeight="15" x14ac:dyDescent="0.25"/>
  <sheetData>
    <row r="1" spans="1:6" x14ac:dyDescent="0.25">
      <c r="A1" s="7" t="s">
        <v>6</v>
      </c>
      <c r="B1" s="7"/>
      <c r="E1" s="7" t="s">
        <v>6</v>
      </c>
      <c r="F1" s="7"/>
    </row>
  </sheetData>
  <mergeCells count="2">
    <mergeCell ref="A1:B1"/>
    <mergeCell ref="E1:F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E7BD7-6909-40BD-9EF3-9DE2A3E9176C}">
  <dimension ref="A1:F1"/>
  <sheetViews>
    <sheetView workbookViewId="0">
      <selection activeCell="E1" sqref="E1:F1"/>
    </sheetView>
  </sheetViews>
  <sheetFormatPr defaultRowHeight="15" x14ac:dyDescent="0.25"/>
  <sheetData>
    <row r="1" spans="1:6" x14ac:dyDescent="0.25">
      <c r="A1">
        <v>1</v>
      </c>
      <c r="B1">
        <v>2</v>
      </c>
      <c r="E1" s="7" t="s">
        <v>5</v>
      </c>
      <c r="F1" s="7"/>
    </row>
  </sheetData>
  <mergeCells count="1">
    <mergeCell ref="E1:F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B8743-A771-4C50-B87F-944294C1C3C5}">
  <dimension ref="A1:F1"/>
  <sheetViews>
    <sheetView workbookViewId="0">
      <selection activeCell="E1" sqref="E1:F1"/>
    </sheetView>
  </sheetViews>
  <sheetFormatPr defaultRowHeight="15" x14ac:dyDescent="0.25"/>
  <sheetData>
    <row r="1" spans="1:6" x14ac:dyDescent="0.25">
      <c r="A1">
        <v>1</v>
      </c>
      <c r="B1">
        <v>2</v>
      </c>
      <c r="E1" s="7">
        <v>1</v>
      </c>
      <c r="F1" s="7">
        <v>2</v>
      </c>
    </row>
  </sheetData>
  <mergeCells count="1">
    <mergeCell ref="E1:F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717C8-D2F1-45AA-A02A-DA055FADD1D3}">
  <dimension ref="A1:F5"/>
  <sheetViews>
    <sheetView workbookViewId="0">
      <selection activeCell="E5" sqref="E5:F5"/>
    </sheetView>
  </sheetViews>
  <sheetFormatPr defaultRowHeight="15" x14ac:dyDescent="0.25"/>
  <sheetData>
    <row r="1" spans="1:6" x14ac:dyDescent="0.25">
      <c r="A1">
        <v>1</v>
      </c>
      <c r="B1">
        <v>1</v>
      </c>
      <c r="E1" s="7">
        <v>1</v>
      </c>
      <c r="F1" s="7">
        <v>1</v>
      </c>
    </row>
    <row r="5" spans="1:6" x14ac:dyDescent="0.25">
      <c r="E5" s="7">
        <v>1</v>
      </c>
      <c r="F5" s="7">
        <v>1</v>
      </c>
    </row>
  </sheetData>
  <mergeCells count="2">
    <mergeCell ref="E1:F1"/>
    <mergeCell ref="E5:F5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171BA-0808-4DF2-B2F6-53F7B4FBE788}">
  <dimension ref="A1:H3"/>
  <sheetViews>
    <sheetView workbookViewId="0">
      <selection activeCell="H1" sqref="H1:H2"/>
    </sheetView>
  </sheetViews>
  <sheetFormatPr defaultRowHeight="15" x14ac:dyDescent="0.25"/>
  <sheetData>
    <row r="1" spans="1:8" x14ac:dyDescent="0.25">
      <c r="A1" cm="1">
        <f t="array" ref="A1:A3">_xlfn.SEQUENCE(3)</f>
        <v>1</v>
      </c>
      <c r="B1">
        <f t="array" ref="B1:B3">A1:A3*2</f>
        <v>2</v>
      </c>
      <c r="E1">
        <v>1</v>
      </c>
      <c r="F1">
        <v>2</v>
      </c>
      <c r="H1">
        <v>2</v>
      </c>
    </row>
    <row r="2" spans="1:8" x14ac:dyDescent="0.25">
      <c r="A2">
        <v>2</v>
      </c>
      <c r="B2">
        <v>4</v>
      </c>
      <c r="E2">
        <v>2</v>
      </c>
      <c r="F2">
        <v>4</v>
      </c>
      <c r="H2">
        <v>3</v>
      </c>
    </row>
    <row r="3" spans="1:8" x14ac:dyDescent="0.25">
      <c r="A3">
        <v>3</v>
      </c>
      <c r="B3">
        <v>6</v>
      </c>
      <c r="E3">
        <v>3</v>
      </c>
      <c r="F3">
        <v>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7EB51-C3C6-4C11-B290-1CE98801690A}">
  <dimension ref="A1:H3"/>
  <sheetViews>
    <sheetView workbookViewId="0">
      <selection activeCell="H1" sqref="H1:H2"/>
    </sheetView>
  </sheetViews>
  <sheetFormatPr defaultRowHeight="15" x14ac:dyDescent="0.25"/>
  <sheetData>
    <row r="1" spans="1:8" x14ac:dyDescent="0.25">
      <c r="A1" cm="1">
        <f t="array" ref="A1:A3">_xlfn.SEQUENCE(3)</f>
        <v>1</v>
      </c>
      <c r="B1">
        <f t="array" ref="B1:B3">A1:A3*2</f>
        <v>2</v>
      </c>
      <c r="E1" cm="1">
        <f t="array" ref="E1:E3">_xlfn.SEQUENCE(3)</f>
        <v>1</v>
      </c>
      <c r="F1">
        <f t="array" ref="F1:F3">E1:E3*2</f>
        <v>2</v>
      </c>
      <c r="H1">
        <f t="array" ref="H1:H2">G1:G3*2</f>
        <v>0</v>
      </c>
    </row>
    <row r="2" spans="1:8" x14ac:dyDescent="0.25">
      <c r="A2">
        <v>2</v>
      </c>
      <c r="B2">
        <v>4</v>
      </c>
      <c r="E2">
        <v>2</v>
      </c>
      <c r="F2">
        <v>4</v>
      </c>
      <c r="H2">
        <v>0</v>
      </c>
    </row>
    <row r="3" spans="1:8" x14ac:dyDescent="0.25">
      <c r="A3">
        <v>3</v>
      </c>
      <c r="B3">
        <v>6</v>
      </c>
      <c r="E3">
        <v>3</v>
      </c>
      <c r="F3">
        <v>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3E514-4B6D-4DAC-A81F-C3E426ADBCFD}">
  <dimension ref="A1:E5"/>
  <sheetViews>
    <sheetView workbookViewId="0">
      <selection activeCell="E5" sqref="E5"/>
    </sheetView>
  </sheetViews>
  <sheetFormatPr defaultRowHeight="15" x14ac:dyDescent="0.25"/>
  <sheetData>
    <row r="1" spans="1:5" x14ac:dyDescent="0.25">
      <c r="A1">
        <v>1</v>
      </c>
      <c r="C1">
        <v>4</v>
      </c>
      <c r="E1">
        <v>1</v>
      </c>
    </row>
    <row r="2" spans="1:5" x14ac:dyDescent="0.25">
      <c r="A2">
        <v>1</v>
      </c>
      <c r="C2">
        <v>4</v>
      </c>
      <c r="E2">
        <v>1</v>
      </c>
    </row>
    <row r="5" spans="1:5" x14ac:dyDescent="0.25">
      <c r="A5">
        <v>1</v>
      </c>
      <c r="E5">
        <v>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4397B-AE81-48B4-B04B-61427A8EA0C6}">
  <dimension ref="A1:E2"/>
  <sheetViews>
    <sheetView workbookViewId="0">
      <selection activeCell="E1" sqref="E1"/>
    </sheetView>
  </sheetViews>
  <sheetFormatPr defaultRowHeight="15" x14ac:dyDescent="0.25"/>
  <sheetData>
    <row r="1" spans="1:5" x14ac:dyDescent="0.25">
      <c r="A1">
        <v>1</v>
      </c>
      <c r="C1">
        <v>4</v>
      </c>
      <c r="E1">
        <f t="array" ref="E1:E2">C1:C2*2</f>
        <v>8</v>
      </c>
    </row>
    <row r="2" spans="1:5" x14ac:dyDescent="0.25">
      <c r="C2">
        <v>4</v>
      </c>
      <c r="E2">
        <v>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58FC3-36C8-46B3-A1BD-B6F24BFA2A43}">
  <dimension ref="A1:E2"/>
  <sheetViews>
    <sheetView workbookViewId="0">
      <selection activeCell="E1" sqref="E1"/>
    </sheetView>
  </sheetViews>
  <sheetFormatPr defaultRowHeight="15" x14ac:dyDescent="0.25"/>
  <sheetData>
    <row r="1" spans="1:5" x14ac:dyDescent="0.25">
      <c r="A1" s="14">
        <v>1</v>
      </c>
      <c r="C1">
        <v>4</v>
      </c>
      <c r="E1" s="14">
        <f t="array" ref="E1:E2">C1:C2*2</f>
        <v>8</v>
      </c>
    </row>
    <row r="2" spans="1:5" x14ac:dyDescent="0.25">
      <c r="C2">
        <v>4</v>
      </c>
      <c r="E2">
        <v>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F204D-B39E-416A-AE54-CEE8A89EC4D6}">
  <dimension ref="A1:H2"/>
  <sheetViews>
    <sheetView workbookViewId="0">
      <selection activeCell="H1" sqref="H1:H3"/>
    </sheetView>
  </sheetViews>
  <sheetFormatPr defaultRowHeight="15" x14ac:dyDescent="0.25"/>
  <sheetData>
    <row r="1" spans="1:8" x14ac:dyDescent="0.25">
      <c r="A1">
        <v>1</v>
      </c>
      <c r="E1" s="9">
        <v>1</v>
      </c>
      <c r="H1">
        <v>1</v>
      </c>
    </row>
    <row r="2" spans="1:8" x14ac:dyDescent="0.25">
      <c r="A2" s="2">
        <f>A1+1</f>
        <v>2</v>
      </c>
      <c r="E2" s="1">
        <f>E1+1</f>
        <v>2</v>
      </c>
      <c r="H2" s="1">
        <v>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5D2FB-53A1-48C0-B9F0-040FF716B225}">
  <dimension ref="A1:E5"/>
  <sheetViews>
    <sheetView workbookViewId="0">
      <selection activeCell="E2" sqref="E2:E4"/>
    </sheetView>
  </sheetViews>
  <sheetFormatPr defaultRowHeight="15" x14ac:dyDescent="0.25"/>
  <sheetData>
    <row r="1" spans="1:5" x14ac:dyDescent="0.25">
      <c r="A1">
        <v>7</v>
      </c>
      <c r="E1">
        <v>3</v>
      </c>
    </row>
    <row r="2" spans="1:5" x14ac:dyDescent="0.25">
      <c r="A2">
        <v>7</v>
      </c>
      <c r="E2">
        <v>7</v>
      </c>
    </row>
    <row r="3" spans="1:5" x14ac:dyDescent="0.25">
      <c r="A3">
        <v>7</v>
      </c>
      <c r="E3">
        <v>7</v>
      </c>
    </row>
    <row r="4" spans="1:5" x14ac:dyDescent="0.25">
      <c r="E4">
        <v>7</v>
      </c>
    </row>
    <row r="5" spans="1:5" x14ac:dyDescent="0.25">
      <c r="E5">
        <v>3</v>
      </c>
    </row>
  </sheetData>
  <conditionalFormatting sqref="A1:A3">
    <cfRule type="cellIs" priority="3" stopIfTrue="1" operator="greaterThan">
      <formula>5</formula>
    </cfRule>
    <cfRule type="expression" priority="4" stopIfTrue="1">
      <formula>A1&gt;B1</formula>
    </cfRule>
  </conditionalFormatting>
  <conditionalFormatting sqref="E1:E5">
    <cfRule type="cellIs" priority="5" stopIfTrue="1" operator="greaterThan">
      <formula>5</formula>
    </cfRule>
  </conditionalFormatting>
  <conditionalFormatting sqref="E4:E6">
    <cfRule type="expression" priority="6" stopIfTrue="1">
      <formula>E4&gt;F4</formula>
    </cfRule>
  </conditionalFormatting>
  <conditionalFormatting sqref="E2:E4">
    <cfRule type="cellIs" priority="1" stopIfTrue="1" operator="greaterThan">
      <formula>5</formula>
    </cfRule>
    <cfRule type="expression" priority="2" stopIfTrue="1">
      <formula>E2&gt;F2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4C939-6E59-4E8F-AD1F-D2C1745F7F64}">
  <dimension ref="A1:E6"/>
  <sheetViews>
    <sheetView workbookViewId="0">
      <selection activeCell="E1" sqref="E1:E6"/>
    </sheetView>
  </sheetViews>
  <sheetFormatPr defaultRowHeight="15" x14ac:dyDescent="0.25"/>
  <sheetData>
    <row r="1" spans="1:5" x14ac:dyDescent="0.25">
      <c r="E1">
        <v>3</v>
      </c>
    </row>
    <row r="2" spans="1:5" x14ac:dyDescent="0.25">
      <c r="E2">
        <v>3</v>
      </c>
    </row>
    <row r="3" spans="1:5" x14ac:dyDescent="0.25">
      <c r="E3">
        <v>3</v>
      </c>
    </row>
    <row r="4" spans="1:5" x14ac:dyDescent="0.25">
      <c r="A4" s="14"/>
      <c r="E4" s="9">
        <v>3</v>
      </c>
    </row>
    <row r="5" spans="1:5" x14ac:dyDescent="0.25">
      <c r="A5">
        <v>1</v>
      </c>
      <c r="E5">
        <v>1</v>
      </c>
    </row>
    <row r="6" spans="1:5" x14ac:dyDescent="0.25">
      <c r="E6">
        <v>3</v>
      </c>
    </row>
  </sheetData>
  <conditionalFormatting sqref="A3">
    <cfRule type="cellIs" priority="2" stopIfTrue="1" operator="greaterThan">
      <formula>5</formula>
    </cfRule>
  </conditionalFormatting>
  <conditionalFormatting sqref="E3">
    <cfRule type="cellIs" priority="1" stopIfTrue="1" operator="greaterThan">
      <formula>5</formula>
    </cfRule>
  </conditionalFormatting>
  <dataValidations count="1">
    <dataValidation type="whole" allowBlank="1" showInputMessage="1" showErrorMessage="1" sqref="A2 E2" xr:uid="{5479BF87-2D79-4FD1-9326-A5362940FFBD}">
      <formula1>0</formula1>
      <formula2>99</formula2>
    </dataValidation>
  </dataValidations>
  <pageMargins left="0.7" right="0.7" top="0.75" bottom="0.75" header="0.3" footer="0.3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3A224-3F69-4543-A966-8F6251B78A00}">
  <dimension ref="A1:E2"/>
  <sheetViews>
    <sheetView workbookViewId="0">
      <selection activeCell="E1" sqref="E1:E2"/>
    </sheetView>
  </sheetViews>
  <sheetFormatPr defaultRowHeight="15" x14ac:dyDescent="0.25"/>
  <sheetData>
    <row r="1" spans="1:5" x14ac:dyDescent="0.25">
      <c r="A1">
        <v>1</v>
      </c>
      <c r="E1">
        <v>1</v>
      </c>
    </row>
    <row r="2" spans="1:5" x14ac:dyDescent="0.25">
      <c r="E2" s="8">
        <v>3</v>
      </c>
    </row>
  </sheetData>
  <hyperlinks>
    <hyperlink ref="E1" r:id="rId1" display="https://example.com/one" xr:uid="{397F7886-3A16-45C5-8A39-C74C38BB7D6A}"/>
    <hyperlink ref="E2" r:id="rId2" display="https://example.com/two" xr:uid="{C305F3CD-E704-48A7-A981-25CE22CD7D10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44565-7D8E-4F29-A8A7-7537E8C7DA6B}">
  <dimension ref="A1:E5"/>
  <sheetViews>
    <sheetView workbookViewId="0">
      <selection activeCell="E1" sqref="E1:E5"/>
    </sheetView>
  </sheetViews>
  <sheetFormatPr defaultRowHeight="15" x14ac:dyDescent="0.25"/>
  <sheetData>
    <row r="1" spans="1:5" x14ac:dyDescent="0.25">
      <c r="A1">
        <v>1</v>
      </c>
      <c r="E1">
        <v>1</v>
      </c>
    </row>
    <row r="2" spans="1:5" x14ac:dyDescent="0.25">
      <c r="A2">
        <v>1</v>
      </c>
      <c r="E2">
        <v>1</v>
      </c>
    </row>
    <row r="4" spans="1:5" x14ac:dyDescent="0.25">
      <c r="A4" s="7" t="s">
        <v>7</v>
      </c>
      <c r="E4" s="7" t="s">
        <v>7</v>
      </c>
    </row>
    <row r="5" spans="1:5" x14ac:dyDescent="0.25">
      <c r="A5" s="7"/>
      <c r="E5" s="7"/>
    </row>
  </sheetData>
  <mergeCells count="2">
    <mergeCell ref="A4:A5"/>
    <mergeCell ref="E4:E5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0DC42-D0B9-4AFC-ADC8-E50ACAFDB278}">
  <dimension ref="A1:E2"/>
  <sheetViews>
    <sheetView workbookViewId="0">
      <selection activeCell="E1" sqref="E1:E2"/>
    </sheetView>
  </sheetViews>
  <sheetFormatPr defaultRowHeight="15" x14ac:dyDescent="0.25"/>
  <sheetData>
    <row r="1" spans="1:5" x14ac:dyDescent="0.25">
      <c r="A1" s="14"/>
      <c r="E1" s="9">
        <v>3</v>
      </c>
    </row>
    <row r="2" spans="1:5" x14ac:dyDescent="0.25">
      <c r="A2" s="14">
        <v>1</v>
      </c>
      <c r="E2" s="14">
        <v>3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431FB-A1E0-4C7D-AA07-A96BB66ABFCF}">
  <dimension ref="A1:G3"/>
  <sheetViews>
    <sheetView workbookViewId="0">
      <selection activeCell="G1" sqref="G1:G3"/>
    </sheetView>
  </sheetViews>
  <sheetFormatPr defaultRowHeight="15" x14ac:dyDescent="0.25"/>
  <sheetData>
    <row r="1" spans="1:7" x14ac:dyDescent="0.25">
      <c r="A1">
        <v>1</v>
      </c>
      <c r="C1">
        <v>1</v>
      </c>
      <c r="E1">
        <v>3</v>
      </c>
      <c r="G1">
        <v>3</v>
      </c>
    </row>
    <row r="2" spans="1:7" x14ac:dyDescent="0.25">
      <c r="E2">
        <v>3</v>
      </c>
      <c r="G2">
        <v>3</v>
      </c>
    </row>
    <row r="3" spans="1:7" x14ac:dyDescent="0.25">
      <c r="A3">
        <v>1</v>
      </c>
      <c r="C3">
        <v>1</v>
      </c>
      <c r="E3">
        <v>3</v>
      </c>
      <c r="G3">
        <v>3</v>
      </c>
    </row>
  </sheetData>
  <conditionalFormatting sqref="A1:A2">
    <cfRule type="cellIs" priority="2" stopIfTrue="1" operator="greaterThan">
      <formula>5</formula>
    </cfRule>
  </conditionalFormatting>
  <conditionalFormatting sqref="E3">
    <cfRule type="cellIs" priority="3" stopIfTrue="1" operator="greaterThan">
      <formula>100</formula>
    </cfRule>
  </conditionalFormatting>
  <conditionalFormatting sqref="E1:E2">
    <cfRule type="cellIs" priority="1" stopIfTrue="1" operator="greaterThan">
      <formula>5</formula>
    </cfRule>
  </conditionalFormatting>
  <dataValidations count="2">
    <dataValidation type="whole" allowBlank="1" showInputMessage="1" showErrorMessage="1" sqref="C1 G1" xr:uid="{5EB0A0FE-846B-4922-A652-CF393F5D421E}">
      <formula1>0</formula1>
      <formula2>99</formula2>
    </dataValidation>
    <dataValidation type="whole" allowBlank="1" showInputMessage="1" showErrorMessage="1" sqref="G2:G3" xr:uid="{E153A0D8-DA27-4737-B934-476DD14FA327}">
      <formula1>0</formula1>
      <formula2>9</formula2>
    </dataValidation>
  </dataValidation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B07EA-2B4A-4D22-9324-7938D9CE4F7D}">
  <dimension ref="A1:E3"/>
  <sheetViews>
    <sheetView workbookViewId="0">
      <selection activeCell="E1" sqref="E1:E3"/>
    </sheetView>
  </sheetViews>
  <sheetFormatPr defaultRowHeight="15" x14ac:dyDescent="0.25"/>
  <sheetData>
    <row r="1" spans="1:5" x14ac:dyDescent="0.25">
      <c r="A1">
        <v>1</v>
      </c>
      <c r="E1">
        <v>3</v>
      </c>
    </row>
    <row r="2" spans="1:5" x14ac:dyDescent="0.25">
      <c r="E2">
        <v>3</v>
      </c>
    </row>
    <row r="3" spans="1:5" x14ac:dyDescent="0.25">
      <c r="E3">
        <v>3</v>
      </c>
    </row>
  </sheetData>
  <pageMargins left="0.7" right="0.7" top="0.75" bottom="0.75" header="0.3" footer="0.3"/>
  <legacy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15D3B-14B8-4909-A4A5-09A911EF7E79}">
  <dimension ref="A1:E3"/>
  <sheetViews>
    <sheetView workbookViewId="0">
      <selection activeCell="E1" sqref="E1:E3"/>
    </sheetView>
  </sheetViews>
  <sheetFormatPr defaultRowHeight="15" x14ac:dyDescent="0.25"/>
  <sheetData>
    <row r="1" spans="1:5" x14ac:dyDescent="0.25">
      <c r="E1">
        <v>3</v>
      </c>
    </row>
    <row r="2" spans="1:5" x14ac:dyDescent="0.25">
      <c r="A2">
        <v>1</v>
      </c>
      <c r="E2">
        <v>1</v>
      </c>
    </row>
    <row r="3" spans="1:5" x14ac:dyDescent="0.25">
      <c r="A3" t="str">
        <f>""</f>
        <v/>
      </c>
      <c r="E3" t="s">
        <v>11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75528-FB86-45F4-856F-CAB79052E270}">
  <dimension ref="A1:M13"/>
  <sheetViews>
    <sheetView workbookViewId="0">
      <selection activeCell="D12" sqref="D12:M13"/>
    </sheetView>
  </sheetViews>
  <sheetFormatPr defaultRowHeight="15" x14ac:dyDescent="0.25"/>
  <sheetData>
    <row r="1" spans="1:13" x14ac:dyDescent="0.25">
      <c r="A1">
        <f>B2</f>
        <v>0</v>
      </c>
      <c r="B1">
        <f>F20</f>
        <v>0</v>
      </c>
    </row>
    <row r="2" spans="1:13" x14ac:dyDescent="0.25">
      <c r="A2">
        <f>$B2</f>
        <v>0</v>
      </c>
      <c r="B2">
        <f>$F20</f>
        <v>0</v>
      </c>
    </row>
    <row r="3" spans="1:13" x14ac:dyDescent="0.25">
      <c r="A3">
        <f>B$2</f>
        <v>0</v>
      </c>
      <c r="B3">
        <f>F$20</f>
        <v>0</v>
      </c>
    </row>
    <row r="4" spans="1:13" x14ac:dyDescent="0.25">
      <c r="A4">
        <f>$B$2</f>
        <v>0</v>
      </c>
      <c r="B4">
        <f>$F$20</f>
        <v>0</v>
      </c>
    </row>
    <row r="5" spans="1:13" x14ac:dyDescent="0.25">
      <c r="A5">
        <f>SUM(A1:B2)</f>
        <v>0</v>
      </c>
      <c r="B5">
        <f>SUM(F20:G21)</f>
        <v>0</v>
      </c>
    </row>
    <row r="6" spans="1:13" x14ac:dyDescent="0.25">
      <c r="A6">
        <f>SUM($A$1:B2)</f>
        <v>0</v>
      </c>
      <c r="B6">
        <f>SUM($F$20:G21)</f>
        <v>0</v>
      </c>
    </row>
    <row r="7" spans="1:13" x14ac:dyDescent="0.25">
      <c r="A7">
        <f ca="1">SUM(A1:B20)</f>
        <v>0</v>
      </c>
      <c r="B7">
        <f>SUM(F:F)</f>
        <v>0</v>
      </c>
    </row>
    <row r="8" spans="1:13" x14ac:dyDescent="0.25">
      <c r="A8">
        <f ca="1">SUM(A:A)</f>
        <v>0</v>
      </c>
      <c r="B8">
        <f>SUM($F:$F)</f>
        <v>0</v>
      </c>
    </row>
    <row r="9" spans="1:13" x14ac:dyDescent="0.25">
      <c r="A9">
        <f ca="1">SUM($A:$A)</f>
        <v>0</v>
      </c>
      <c r="B9">
        <f>SUM(20:20)</f>
        <v>0</v>
      </c>
    </row>
    <row r="10" spans="1:13" x14ac:dyDescent="0.25">
      <c r="A10">
        <f>SUM(5:5)</f>
        <v>0</v>
      </c>
      <c r="B10">
        <f>Other!$B$2</f>
        <v>0</v>
      </c>
    </row>
    <row r="12" spans="1:13" x14ac:dyDescent="0.25">
      <c r="D12">
        <f>E13</f>
        <v>0</v>
      </c>
      <c r="E12">
        <f>E$13</f>
        <v>0</v>
      </c>
      <c r="F12">
        <f>$E13</f>
        <v>0</v>
      </c>
      <c r="G12">
        <f>$E$13</f>
        <v>0</v>
      </c>
      <c r="H12">
        <f>SUM(D12:E13)</f>
        <v>0</v>
      </c>
      <c r="I12">
        <f>SUM($D$12:E13)</f>
        <v>0</v>
      </c>
      <c r="J12">
        <f ca="1">SUM(D12:W13)</f>
        <v>0</v>
      </c>
      <c r="K12">
        <f ca="1">SUM($D12:$XFD12)</f>
        <v>0</v>
      </c>
      <c r="L12">
        <f ca="1">SUM($D$12:$XFD$12)</f>
        <v>0</v>
      </c>
      <c r="M12">
        <f>SUM(H$12:H$1048576)</f>
        <v>0</v>
      </c>
    </row>
    <row r="13" spans="1:13" x14ac:dyDescent="0.25">
      <c r="D13">
        <f>W17</f>
        <v>0</v>
      </c>
      <c r="E13">
        <f>$F20</f>
        <v>0</v>
      </c>
      <c r="F13">
        <f>F$20</f>
        <v>0</v>
      </c>
      <c r="G13">
        <f>$F$20</f>
        <v>0</v>
      </c>
      <c r="H13">
        <f>SUM(W17:X18)</f>
        <v>0</v>
      </c>
      <c r="I13">
        <f>SUM($W$17:X18)</f>
        <v>0</v>
      </c>
      <c r="J13">
        <f>SUM($D17:$XFD17)</f>
        <v>0</v>
      </c>
      <c r="K13">
        <f>SUM($F:$F)</f>
        <v>0</v>
      </c>
      <c r="L13">
        <f>SUM(W$12:W$1048576)</f>
        <v>0</v>
      </c>
      <c r="M13">
        <f>Other!$B$2</f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D2AE2-AB5B-4C5F-A62C-A2BD0249476B}">
  <dimension ref="B3:N16"/>
  <sheetViews>
    <sheetView workbookViewId="0">
      <selection activeCell="E15" sqref="E15:N16"/>
    </sheetView>
  </sheetViews>
  <sheetFormatPr defaultRowHeight="15" x14ac:dyDescent="0.25"/>
  <sheetData>
    <row r="3" spans="2:14" x14ac:dyDescent="0.25">
      <c r="B3">
        <f>Other!B$2</f>
        <v>0</v>
      </c>
      <c r="C3">
        <f>B2</f>
        <v>0</v>
      </c>
    </row>
    <row r="4" spans="2:14" x14ac:dyDescent="0.25">
      <c r="B4">
        <f>Other!F$20</f>
        <v>0</v>
      </c>
      <c r="C4">
        <f>$B2</f>
        <v>0</v>
      </c>
    </row>
    <row r="5" spans="2:14" x14ac:dyDescent="0.25">
      <c r="B5">
        <f ca="1">SUM($5:$5)</f>
        <v>0</v>
      </c>
      <c r="C5">
        <f>B$2</f>
        <v>0</v>
      </c>
    </row>
    <row r="6" spans="2:14" x14ac:dyDescent="0.25">
      <c r="B6">
        <f>SUM(A$1:A$3)</f>
        <v>0</v>
      </c>
      <c r="C6">
        <f>$B$2</f>
        <v>0</v>
      </c>
    </row>
    <row r="7" spans="2:14" x14ac:dyDescent="0.25">
      <c r="B7">
        <f>SUM($A1:$B1)</f>
        <v>0</v>
      </c>
      <c r="C7">
        <f>SUM(A1:B2)</f>
        <v>0</v>
      </c>
    </row>
    <row r="8" spans="2:14" x14ac:dyDescent="0.25">
      <c r="B8">
        <f ca="1">SUM(B2:F20)</f>
        <v>0</v>
      </c>
      <c r="C8">
        <f>SUM($A$1:B2)</f>
        <v>0</v>
      </c>
    </row>
    <row r="9" spans="2:14" x14ac:dyDescent="0.25">
      <c r="B9" t="e">
        <f>A1:B2</f>
        <v>#VALUE!</v>
      </c>
      <c r="C9">
        <f ca="1">SUM(A1:B20)</f>
        <v>0</v>
      </c>
    </row>
    <row r="10" spans="2:14" x14ac:dyDescent="0.25">
      <c r="B10">
        <f>SUM(Other!A:A)</f>
        <v>1</v>
      </c>
      <c r="C10">
        <f>SUM(A:A)</f>
        <v>0</v>
      </c>
    </row>
    <row r="11" spans="2:14" x14ac:dyDescent="0.25">
      <c r="B11">
        <f>ROW(B3)</f>
        <v>3</v>
      </c>
      <c r="C11">
        <f>SUM($A:$A)</f>
        <v>0</v>
      </c>
    </row>
    <row r="12" spans="2:14" x14ac:dyDescent="0.25">
      <c r="B12">
        <f>$A1+A$1</f>
        <v>0</v>
      </c>
      <c r="C12">
        <f ca="1">SUM(5:5)</f>
        <v>0</v>
      </c>
    </row>
    <row r="15" spans="2:14" x14ac:dyDescent="0.25">
      <c r="E15">
        <f>Other!B$2</f>
        <v>0</v>
      </c>
      <c r="F15">
        <f>Other!F$20</f>
        <v>0</v>
      </c>
      <c r="G15">
        <f ca="1">SUM($5:$5)</f>
        <v>0</v>
      </c>
      <c r="H15">
        <f>SUM(A$1:A$3)</f>
        <v>0</v>
      </c>
      <c r="I15">
        <f>SUM($A1:$B1)</f>
        <v>0</v>
      </c>
      <c r="J15">
        <f ca="1">SUM(D15:V19)</f>
        <v>0</v>
      </c>
      <c r="K15" t="e">
        <f>C14:D15</f>
        <v>#VALUE!</v>
      </c>
      <c r="L15">
        <f>SUM(Other!$C14:$XFD14)</f>
        <v>0</v>
      </c>
      <c r="M15">
        <f>ROW(E15)</f>
        <v>15</v>
      </c>
      <c r="N15">
        <f>$A1+A$1</f>
        <v>0</v>
      </c>
    </row>
    <row r="16" spans="2:14" x14ac:dyDescent="0.25">
      <c r="E16">
        <f>D15</f>
        <v>0</v>
      </c>
      <c r="F16">
        <f>$B2</f>
        <v>0</v>
      </c>
      <c r="G16">
        <f>B$2</f>
        <v>0</v>
      </c>
      <c r="H16">
        <f>$B$2</f>
        <v>0</v>
      </c>
      <c r="I16">
        <f>SUM(C14:D15)</f>
        <v>0</v>
      </c>
      <c r="J16">
        <f>SUM($C$14:D15)</f>
        <v>0</v>
      </c>
      <c r="K16">
        <f ca="1">SUM(C14:V15)</f>
        <v>0</v>
      </c>
      <c r="L16">
        <f>SUM($C14:$XFD14)</f>
        <v>0</v>
      </c>
      <c r="M16">
        <f>SUM($A:$A)</f>
        <v>0</v>
      </c>
      <c r="N16">
        <f ca="1">SUM(G$14:G$1048576)</f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8C335-B548-48DB-B564-C212158CF705}">
  <dimension ref="A1:F10"/>
  <sheetViews>
    <sheetView workbookViewId="0">
      <selection sqref="A1:F2"/>
    </sheetView>
  </sheetViews>
  <sheetFormatPr defaultRowHeight="15" x14ac:dyDescent="0.25"/>
  <sheetData>
    <row r="1" spans="1:6" x14ac:dyDescent="0.25">
      <c r="A1">
        <f>TransposeOff!$A$2</f>
        <v>0</v>
      </c>
      <c r="B1" t="e">
        <f>#REF!</f>
        <v>#REF!</v>
      </c>
      <c r="C1" t="e">
        <f>SUM(#REF!)</f>
        <v>#REF!</v>
      </c>
      <c r="D1" t="e">
        <f>SUM($A$1:$B$3)</f>
        <v>#REF!</v>
      </c>
      <c r="E1">
        <f>SUM($A:A)</f>
        <v>0</v>
      </c>
      <c r="F1" t="str">
        <f>"B5"&amp;A1</f>
        <v>B50</v>
      </c>
    </row>
    <row r="2" spans="1:6" x14ac:dyDescent="0.25">
      <c r="A2">
        <f>SUM(Jan:Mar!A1)</f>
        <v>0</v>
      </c>
      <c r="B2" t="e">
        <f>SUM(#REF!)</f>
        <v>#REF!</v>
      </c>
      <c r="C2" t="e">
        <f>SUM(#REF!)</f>
        <v>#REF!</v>
      </c>
      <c r="D2">
        <f>SUM(G3:$P$5)</f>
        <v>0</v>
      </c>
      <c r="E2" t="e">
        <f>SUM(A$1:B$1)</f>
        <v>#REF!</v>
      </c>
      <c r="F2">
        <f>Rate</f>
        <v>5</v>
      </c>
    </row>
    <row r="5" spans="1:6" x14ac:dyDescent="0.25">
      <c r="B5">
        <f>TransposeOff!$C$5</f>
        <v>3</v>
      </c>
      <c r="C5">
        <f>SUM(Jan:Mar!B5)</f>
        <v>3</v>
      </c>
    </row>
    <row r="6" spans="1:6" x14ac:dyDescent="0.25">
      <c r="B6">
        <f>A1</f>
        <v>0</v>
      </c>
      <c r="C6" t="e">
        <f>SUM(D:D)</f>
        <v>#REF!</v>
      </c>
    </row>
    <row r="7" spans="1:6" x14ac:dyDescent="0.25">
      <c r="B7">
        <f>SUM(12:12)</f>
        <v>0</v>
      </c>
      <c r="C7" t="e">
        <f>SUM($A$1:$B$5)</f>
        <v>#REF!</v>
      </c>
    </row>
    <row r="8" spans="1:6" x14ac:dyDescent="0.25">
      <c r="B8" t="e">
        <f>SUM($B$5:$D$6)</f>
        <v>#REF!</v>
      </c>
      <c r="C8">
        <f>SUM(D11:$F$20)</f>
        <v>0</v>
      </c>
    </row>
    <row r="9" spans="1:6" x14ac:dyDescent="0.25">
      <c r="B9">
        <f>SUM($A:A)</f>
        <v>0</v>
      </c>
      <c r="C9">
        <f>SUM($B5:$B6)</f>
        <v>3</v>
      </c>
    </row>
    <row r="10" spans="1:6" x14ac:dyDescent="0.25">
      <c r="B10" t="str">
        <f>"B5"&amp;B5</f>
        <v>B53</v>
      </c>
      <c r="C10">
        <f>Rate</f>
        <v>5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39341-AF1C-4358-AC8C-E44A36DEFC0F}">
  <dimension ref="A3:G26"/>
  <sheetViews>
    <sheetView workbookViewId="0">
      <selection activeCell="E25" sqref="E25:F26"/>
    </sheetView>
  </sheetViews>
  <sheetFormatPr defaultRowHeight="15" x14ac:dyDescent="0.25"/>
  <sheetData>
    <row r="3" spans="2:7" x14ac:dyDescent="0.25">
      <c r="B3">
        <f ca="1">SUM($A$4:$D$4)</f>
        <v>0</v>
      </c>
      <c r="C3">
        <f ca="1">SUM($A$4:$B$4)</f>
        <v>0</v>
      </c>
    </row>
    <row r="4" spans="2:7" x14ac:dyDescent="0.25">
      <c r="B4">
        <f ca="1">SUM($A$3:$D$12)</f>
        <v>0</v>
      </c>
      <c r="C4">
        <f ca="1">SUM($C$2:$C$20)</f>
        <v>0</v>
      </c>
    </row>
    <row r="5" spans="2:7" x14ac:dyDescent="0.25">
      <c r="B5">
        <f ca="1">SUM($B:B)</f>
        <v>0</v>
      </c>
      <c r="C5">
        <f ca="1">SUM(B:$B)</f>
        <v>0</v>
      </c>
    </row>
    <row r="15" spans="2:7" x14ac:dyDescent="0.25">
      <c r="E15">
        <f ca="1">SUM($A$4:$D$4)</f>
        <v>0</v>
      </c>
      <c r="F15">
        <f ca="1">SUM($A$3:$D$12)</f>
        <v>0</v>
      </c>
      <c r="G15">
        <f ca="1">SUM($B:B)</f>
        <v>0</v>
      </c>
    </row>
    <row r="16" spans="2:7" x14ac:dyDescent="0.25">
      <c r="E16">
        <f ca="1">SUM($F$14:$F$15)</f>
        <v>0</v>
      </c>
      <c r="F16">
        <f ca="1">SUM($C$2:$C$20)</f>
        <v>0</v>
      </c>
      <c r="G16">
        <f ca="1">SUM(B:$B)</f>
        <v>0</v>
      </c>
    </row>
    <row r="20" spans="1:6" x14ac:dyDescent="0.25">
      <c r="A20">
        <f ca="1">SUM($5:$5)</f>
        <v>0</v>
      </c>
      <c r="B20">
        <f ca="1">SUM($20:$21)</f>
        <v>0</v>
      </c>
    </row>
    <row r="21" spans="1:6" x14ac:dyDescent="0.25">
      <c r="A21">
        <f ca="1">SUM($A:$A)</f>
        <v>0</v>
      </c>
      <c r="B21">
        <f>SUM($9:$9)</f>
        <v>0</v>
      </c>
    </row>
    <row r="25" spans="1:6" x14ac:dyDescent="0.25">
      <c r="E25">
        <f ca="1">SUM($5:$5)</f>
        <v>0</v>
      </c>
      <c r="F25">
        <f ca="1">SUM($A:$A)</f>
        <v>0</v>
      </c>
    </row>
    <row r="26" spans="1:6" x14ac:dyDescent="0.25">
      <c r="E26">
        <f ca="1">SUM($E$25:$F$1048576)</f>
        <v>0</v>
      </c>
      <c r="F26">
        <f>SUM($9:$9)</f>
        <v>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0AB17-06F7-4F45-9B48-AAD0C51480A0}">
  <dimension ref="A1:I3"/>
  <sheetViews>
    <sheetView workbookViewId="0">
      <selection activeCell="G1" sqref="G1:I2"/>
    </sheetView>
  </sheetViews>
  <sheetFormatPr defaultRowHeight="15" x14ac:dyDescent="0.25"/>
  <sheetData>
    <row r="1" spans="1:9" x14ac:dyDescent="0.25">
      <c r="A1">
        <f>Other!D6</f>
        <v>5</v>
      </c>
      <c r="B1">
        <f ca="1">SUM(A1:B2)</f>
        <v>0</v>
      </c>
      <c r="G1">
        <f>Other!L4</f>
        <v>0</v>
      </c>
      <c r="H1">
        <f ca="1">SUM(H:H)</f>
        <v>0</v>
      </c>
      <c r="I1">
        <f>G1+H2</f>
        <v>0</v>
      </c>
    </row>
    <row r="2" spans="1:9" x14ac:dyDescent="0.25">
      <c r="A2">
        <f ca="1">SUM(2:2)</f>
        <v>0</v>
      </c>
      <c r="B2">
        <f>$A$1</f>
        <v>5</v>
      </c>
      <c r="G2">
        <f ca="1">SUM(G1:H2)</f>
        <v>0</v>
      </c>
      <c r="H2">
        <f>$G$1</f>
        <v>0</v>
      </c>
      <c r="I2">
        <f>$G1+G$1</f>
        <v>0</v>
      </c>
    </row>
    <row r="3" spans="1:9" x14ac:dyDescent="0.25">
      <c r="A3">
        <f>A1+B2</f>
        <v>10</v>
      </c>
      <c r="B3">
        <f>A$1+$A1</f>
        <v>10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1E74B-1077-4B24-869B-3A8244010835}">
  <dimension ref="A1:G3"/>
  <sheetViews>
    <sheetView workbookViewId="0">
      <selection activeCell="E1" sqref="E1:G2"/>
    </sheetView>
  </sheetViews>
  <sheetFormatPr defaultRowHeight="15" x14ac:dyDescent="0.25"/>
  <sheetData>
    <row r="1" spans="1:7" x14ac:dyDescent="0.25">
      <c r="A1">
        <v>1</v>
      </c>
      <c r="B1">
        <v>1</v>
      </c>
      <c r="E1">
        <v>1</v>
      </c>
      <c r="F1">
        <v>1</v>
      </c>
      <c r="G1">
        <v>1</v>
      </c>
    </row>
    <row r="2" spans="1:7" x14ac:dyDescent="0.25">
      <c r="A2">
        <v>1</v>
      </c>
      <c r="B2">
        <v>1</v>
      </c>
      <c r="E2">
        <v>1</v>
      </c>
      <c r="F2">
        <v>1</v>
      </c>
      <c r="G2">
        <v>1</v>
      </c>
    </row>
    <row r="3" spans="1:7" x14ac:dyDescent="0.25">
      <c r="A3">
        <v>1</v>
      </c>
      <c r="B3">
        <v>1</v>
      </c>
    </row>
  </sheetData>
  <conditionalFormatting sqref="A1:B3">
    <cfRule type="expression" priority="2" stopIfTrue="1">
      <formula>A1&gt;B1</formula>
    </cfRule>
  </conditionalFormatting>
  <conditionalFormatting sqref="E1:G2">
    <cfRule type="expression" priority="1" stopIfTrue="1">
      <formula>E1&gt;F1</formula>
    </cfRule>
  </conditionalFormatting>
  <dataValidations count="1">
    <dataValidation type="custom" allowBlank="1" showInputMessage="1" showErrorMessage="1" sqref="A1:A3 E1:G1" xr:uid="{0E32F071-1021-4DEF-81E3-7F010DB7DF6B}">
      <formula1>A1&gt;$B$1</formula1>
    </dataValidation>
  </dataValidation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2990B-732B-43BA-BAD1-7EB4A148BC14}">
  <dimension ref="A1:G3"/>
  <sheetViews>
    <sheetView workbookViewId="0">
      <selection activeCell="E1" sqref="E1:G1"/>
    </sheetView>
  </sheetViews>
  <sheetFormatPr defaultRowHeight="15" x14ac:dyDescent="0.25"/>
  <sheetData>
    <row r="1" spans="1:7" x14ac:dyDescent="0.25">
      <c r="A1">
        <f t="array" ref="A1:A3">B1:B3*2</f>
        <v>4</v>
      </c>
      <c r="B1">
        <v>2</v>
      </c>
      <c r="E1">
        <f t="array" ref="E1:G1">E2:G2*2</f>
        <v>0</v>
      </c>
      <c r="F1">
        <v>0</v>
      </c>
      <c r="G1">
        <v>0</v>
      </c>
    </row>
    <row r="2" spans="1:7" x14ac:dyDescent="0.25">
      <c r="A2">
        <v>4</v>
      </c>
      <c r="B2">
        <v>2</v>
      </c>
    </row>
    <row r="3" spans="1:7" x14ac:dyDescent="0.25">
      <c r="A3">
        <v>4</v>
      </c>
      <c r="B3">
        <v>2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B672B-2831-47AA-9192-89ADE5237B87}">
  <dimension ref="A1:E7"/>
  <sheetViews>
    <sheetView workbookViewId="0">
      <selection activeCell="E5" sqref="E5:G5"/>
    </sheetView>
  </sheetViews>
  <sheetFormatPr defaultRowHeight="15" x14ac:dyDescent="0.25"/>
  <sheetData>
    <row r="1" spans="1:5" x14ac:dyDescent="0.25">
      <c r="A1" cm="1">
        <f t="array" ref="A1:A3">_xlfn.SEQUENCE(3)</f>
        <v>1</v>
      </c>
    </row>
    <row r="2" spans="1:5" x14ac:dyDescent="0.25">
      <c r="A2">
        <v>2</v>
      </c>
    </row>
    <row r="3" spans="1:5" x14ac:dyDescent="0.25">
      <c r="A3">
        <v>3</v>
      </c>
    </row>
    <row r="5" spans="1:5" x14ac:dyDescent="0.25">
      <c r="E5" cm="1">
        <f t="array" ref="E5:E7">_xlfn.SEQUENCE(3)</f>
        <v>1</v>
      </c>
    </row>
    <row r="6" spans="1:5" x14ac:dyDescent="0.25">
      <c r="E6">
        <v>2</v>
      </c>
    </row>
    <row r="7" spans="1:5" x14ac:dyDescent="0.25">
      <c r="E7">
        <v>3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60E0C-360E-42AF-A4A5-EBF893CFD398}">
  <dimension ref="A1:F4"/>
  <sheetViews>
    <sheetView workbookViewId="0">
      <selection activeCell="E1" sqref="E1:F4"/>
    </sheetView>
  </sheetViews>
  <sheetFormatPr defaultRowHeight="15" x14ac:dyDescent="0.25"/>
  <sheetData>
    <row r="1" spans="1:6" x14ac:dyDescent="0.25">
      <c r="A1">
        <v>1</v>
      </c>
      <c r="B1">
        <v>2</v>
      </c>
      <c r="E1">
        <v>1</v>
      </c>
      <c r="F1">
        <v>1</v>
      </c>
    </row>
    <row r="2" spans="1:6" x14ac:dyDescent="0.25">
      <c r="E2">
        <v>2</v>
      </c>
      <c r="F2">
        <v>2</v>
      </c>
    </row>
    <row r="3" spans="1:6" x14ac:dyDescent="0.25">
      <c r="E3">
        <v>1</v>
      </c>
      <c r="F3">
        <v>1</v>
      </c>
    </row>
    <row r="4" spans="1:6" x14ac:dyDescent="0.25">
      <c r="E4">
        <v>2</v>
      </c>
      <c r="F4">
        <v>2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5761D-CF34-41B0-AFC5-A164B4972FD8}">
  <dimension ref="A1:B3"/>
  <sheetViews>
    <sheetView workbookViewId="0">
      <selection activeCell="B1" sqref="B1:D2"/>
    </sheetView>
  </sheetViews>
  <sheetFormatPr defaultRowHeight="15" x14ac:dyDescent="0.25"/>
  <sheetData>
    <row r="1" spans="1:2" x14ac:dyDescent="0.25">
      <c r="A1">
        <v>1</v>
      </c>
      <c r="B1">
        <v>1</v>
      </c>
    </row>
    <row r="2" spans="1:2" x14ac:dyDescent="0.25">
      <c r="A2">
        <v>1</v>
      </c>
      <c r="B2">
        <v>1</v>
      </c>
    </row>
    <row r="3" spans="1:2" x14ac:dyDescent="0.25">
      <c r="A3">
        <v>1</v>
      </c>
      <c r="B3">
        <v>1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45667-06FF-498D-A4C7-31CEF5544707}">
  <dimension ref="A1:B2"/>
  <sheetViews>
    <sheetView workbookViewId="0">
      <selection sqref="A1:B2"/>
    </sheetView>
  </sheetViews>
  <sheetFormatPr defaultRowHeight="15" x14ac:dyDescent="0.25"/>
  <sheetData>
    <row r="1" spans="1:2" x14ac:dyDescent="0.25">
      <c r="A1">
        <v>1</v>
      </c>
      <c r="B1">
        <v>2</v>
      </c>
    </row>
    <row r="2" spans="1:2" x14ac:dyDescent="0.25">
      <c r="A2">
        <v>3</v>
      </c>
      <c r="B2">
        <f>A1+B1</f>
        <v>3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D941C-39DB-4612-AC4A-5DCCBC1DEF30}">
  <dimension ref="A1:E9"/>
  <sheetViews>
    <sheetView workbookViewId="0">
      <selection activeCell="E1" sqref="E1:E9"/>
    </sheetView>
  </sheetViews>
  <sheetFormatPr defaultRowHeight="15" x14ac:dyDescent="0.25"/>
  <cols>
    <col min="5" max="5" width="9.42578125" bestFit="1" customWidth="1"/>
  </cols>
  <sheetData>
    <row r="1" spans="1:5" x14ac:dyDescent="0.25">
      <c r="A1">
        <v>10</v>
      </c>
      <c r="E1">
        <v>13</v>
      </c>
    </row>
    <row r="2" spans="1:5" x14ac:dyDescent="0.25">
      <c r="A2">
        <v>10</v>
      </c>
      <c r="E2">
        <v>10</v>
      </c>
    </row>
    <row r="3" spans="1:5" x14ac:dyDescent="0.25">
      <c r="A3">
        <v>10</v>
      </c>
      <c r="E3" t="s">
        <v>0</v>
      </c>
    </row>
    <row r="4" spans="1:5" x14ac:dyDescent="0.25">
      <c r="A4">
        <v>10</v>
      </c>
      <c r="E4" t="b">
        <v>1</v>
      </c>
    </row>
    <row r="5" spans="1:5" x14ac:dyDescent="0.25">
      <c r="A5">
        <v>10</v>
      </c>
      <c r="E5" t="e">
        <v>#DIV/0!</v>
      </c>
    </row>
    <row r="6" spans="1:5" x14ac:dyDescent="0.25">
      <c r="A6">
        <v>10</v>
      </c>
      <c r="E6">
        <f>(1+1)+10</f>
        <v>12</v>
      </c>
    </row>
    <row r="7" spans="1:5" x14ac:dyDescent="0.25">
      <c r="A7">
        <v>10</v>
      </c>
      <c r="E7" s="6">
        <v>43855</v>
      </c>
    </row>
    <row r="8" spans="1:5" x14ac:dyDescent="0.25">
      <c r="A8">
        <v>10</v>
      </c>
      <c r="E8">
        <v>10.1</v>
      </c>
    </row>
    <row r="9" spans="1:5" x14ac:dyDescent="0.25">
      <c r="A9">
        <v>10</v>
      </c>
      <c r="E9">
        <v>5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C48F1-DCD8-49E5-86F5-F0306EA077A5}">
  <dimension ref="A1:E9"/>
  <sheetViews>
    <sheetView workbookViewId="0">
      <selection activeCell="E1" sqref="E1:E9"/>
    </sheetView>
  </sheetViews>
  <sheetFormatPr defaultRowHeight="15" x14ac:dyDescent="0.25"/>
  <cols>
    <col min="5" max="5" width="9.42578125" bestFit="1" customWidth="1"/>
  </cols>
  <sheetData>
    <row r="1" spans="1:5" x14ac:dyDescent="0.25">
      <c r="A1">
        <v>10</v>
      </c>
      <c r="E1">
        <v>30</v>
      </c>
    </row>
    <row r="2" spans="1:5" x14ac:dyDescent="0.25">
      <c r="A2">
        <v>10</v>
      </c>
      <c r="E2">
        <v>0</v>
      </c>
    </row>
    <row r="3" spans="1:5" x14ac:dyDescent="0.25">
      <c r="A3">
        <v>10</v>
      </c>
      <c r="E3" t="s">
        <v>0</v>
      </c>
    </row>
    <row r="4" spans="1:5" x14ac:dyDescent="0.25">
      <c r="A4">
        <v>10</v>
      </c>
      <c r="E4" t="b">
        <v>1</v>
      </c>
    </row>
    <row r="5" spans="1:5" x14ac:dyDescent="0.25">
      <c r="A5">
        <v>10</v>
      </c>
      <c r="E5" t="e">
        <v>#DIV/0!</v>
      </c>
    </row>
    <row r="6" spans="1:5" x14ac:dyDescent="0.25">
      <c r="A6">
        <v>10</v>
      </c>
      <c r="E6">
        <f>(1+1)*10</f>
        <v>20</v>
      </c>
    </row>
    <row r="7" spans="1:5" x14ac:dyDescent="0.25">
      <c r="A7">
        <v>10</v>
      </c>
      <c r="E7">
        <v>438450</v>
      </c>
    </row>
    <row r="8" spans="1:5" x14ac:dyDescent="0.25">
      <c r="A8">
        <v>10</v>
      </c>
      <c r="E8">
        <v>1</v>
      </c>
    </row>
    <row r="9" spans="1:5" x14ac:dyDescent="0.25">
      <c r="A9">
        <v>10</v>
      </c>
      <c r="E9">
        <v>-50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DEA52-9DBC-4F9D-ACE0-7EBBEF6C6B75}">
  <dimension ref="A1:E8"/>
  <sheetViews>
    <sheetView workbookViewId="0">
      <selection activeCell="E1" sqref="E1:E8"/>
    </sheetView>
  </sheetViews>
  <sheetFormatPr defaultRowHeight="15" x14ac:dyDescent="0.25"/>
  <cols>
    <col min="1" max="1" width="9.42578125" bestFit="1" customWidth="1"/>
  </cols>
  <sheetData>
    <row r="1" spans="1:5" x14ac:dyDescent="0.25">
      <c r="A1">
        <v>10</v>
      </c>
      <c r="E1">
        <v>0.3</v>
      </c>
    </row>
    <row r="2" spans="1:5" x14ac:dyDescent="0.25">
      <c r="E2" t="e">
        <v>#DIV/0!</v>
      </c>
    </row>
    <row r="3" spans="1:5" x14ac:dyDescent="0.25">
      <c r="A3" t="s">
        <v>0</v>
      </c>
      <c r="E3">
        <v>3</v>
      </c>
    </row>
    <row r="4" spans="1:5" x14ac:dyDescent="0.25">
      <c r="A4" t="b">
        <v>1</v>
      </c>
      <c r="E4">
        <v>3</v>
      </c>
    </row>
    <row r="5" spans="1:5" x14ac:dyDescent="0.25">
      <c r="A5" t="e">
        <v>#DIV/0!</v>
      </c>
      <c r="E5">
        <v>3</v>
      </c>
    </row>
    <row r="6" spans="1:5" x14ac:dyDescent="0.25">
      <c r="A6">
        <f>2*5</f>
        <v>10</v>
      </c>
      <c r="E6">
        <v>0.3</v>
      </c>
    </row>
    <row r="7" spans="1:5" x14ac:dyDescent="0.25">
      <c r="A7" s="6">
        <v>43845</v>
      </c>
      <c r="E7">
        <v>6.842285323297981E-5</v>
      </c>
    </row>
    <row r="8" spans="1:5" x14ac:dyDescent="0.25">
      <c r="A8">
        <v>0</v>
      </c>
      <c r="E8" t="e">
        <v>#DIV/0!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0BC28-A84D-4533-9484-74312239CD27}">
  <dimension ref="A1:E8"/>
  <sheetViews>
    <sheetView workbookViewId="0">
      <selection activeCell="E1" sqref="E1:E8"/>
    </sheetView>
  </sheetViews>
  <sheetFormatPr defaultRowHeight="15" x14ac:dyDescent="0.25"/>
  <cols>
    <col min="1" max="1" width="9.42578125" bestFit="1" customWidth="1"/>
  </cols>
  <sheetData>
    <row r="1" spans="1:5" x14ac:dyDescent="0.25">
      <c r="A1">
        <v>10</v>
      </c>
      <c r="E1">
        <v>-7</v>
      </c>
    </row>
    <row r="2" spans="1:5" x14ac:dyDescent="0.25">
      <c r="E2">
        <v>3</v>
      </c>
    </row>
    <row r="3" spans="1:5" x14ac:dyDescent="0.25">
      <c r="A3" t="s">
        <v>0</v>
      </c>
      <c r="E3">
        <v>3</v>
      </c>
    </row>
    <row r="4" spans="1:5" x14ac:dyDescent="0.25">
      <c r="A4" t="b">
        <v>1</v>
      </c>
      <c r="E4">
        <v>3</v>
      </c>
    </row>
    <row r="5" spans="1:5" x14ac:dyDescent="0.25">
      <c r="A5" t="e">
        <v>#DIV/0!</v>
      </c>
      <c r="E5">
        <v>3</v>
      </c>
    </row>
    <row r="6" spans="1:5" x14ac:dyDescent="0.25">
      <c r="A6">
        <f>2*5</f>
        <v>10</v>
      </c>
      <c r="E6">
        <f>3-(2*5)</f>
        <v>-7</v>
      </c>
    </row>
    <row r="7" spans="1:5" x14ac:dyDescent="0.25">
      <c r="A7" s="6">
        <v>43845</v>
      </c>
      <c r="E7" s="6">
        <v>-43842</v>
      </c>
    </row>
    <row r="8" spans="1:5" x14ac:dyDescent="0.25">
      <c r="A8">
        <v>0</v>
      </c>
      <c r="E8">
        <v>3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10A0C-C492-4714-9474-EFE19074AAEB}">
  <dimension ref="A1:E5"/>
  <sheetViews>
    <sheetView workbookViewId="0">
      <selection activeCell="E5" sqref="E5"/>
    </sheetView>
  </sheetViews>
  <sheetFormatPr defaultRowHeight="15" x14ac:dyDescent="0.25"/>
  <sheetData>
    <row r="1" spans="1:5" x14ac:dyDescent="0.25">
      <c r="A1">
        <v>0.2</v>
      </c>
      <c r="E1">
        <v>0.30000000000000004</v>
      </c>
    </row>
    <row r="2" spans="1:5" x14ac:dyDescent="0.25">
      <c r="A2">
        <v>-0.1</v>
      </c>
      <c r="E2">
        <v>0.19999999999999998</v>
      </c>
    </row>
    <row r="3" spans="1:5" x14ac:dyDescent="0.25">
      <c r="A3">
        <v>0.3</v>
      </c>
      <c r="E3">
        <v>1000000000000000.3</v>
      </c>
    </row>
    <row r="4" spans="1:5" x14ac:dyDescent="0.25">
      <c r="A4">
        <v>0.6</v>
      </c>
      <c r="E4">
        <v>123456789012345.59</v>
      </c>
    </row>
    <row r="5" spans="1:5" x14ac:dyDescent="0.25">
      <c r="A5">
        <v>3</v>
      </c>
      <c r="E5">
        <v>1.3333333333333333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39E16-CF72-4F97-9CE9-8476F8F153A7}">
  <dimension ref="A1:E12"/>
  <sheetViews>
    <sheetView workbookViewId="0">
      <selection activeCell="E11" sqref="E11:E12"/>
    </sheetView>
  </sheetViews>
  <sheetFormatPr defaultRowHeight="15" x14ac:dyDescent="0.25"/>
  <sheetData>
    <row r="1" spans="1:5" x14ac:dyDescent="0.25">
      <c r="A1">
        <f>$B$1*2</f>
        <v>10</v>
      </c>
      <c r="B1">
        <v>5</v>
      </c>
      <c r="E1">
        <f>(1+1)+($B$1*2)</f>
        <v>12</v>
      </c>
    </row>
    <row r="2" spans="1:5" x14ac:dyDescent="0.25">
      <c r="A2">
        <f>$B$1*2</f>
        <v>10</v>
      </c>
      <c r="E2">
        <f>0+($B$1*2)</f>
        <v>10</v>
      </c>
    </row>
    <row r="3" spans="1:5" x14ac:dyDescent="0.25">
      <c r="A3">
        <f>$B$1*2</f>
        <v>10</v>
      </c>
      <c r="E3" t="s">
        <v>0</v>
      </c>
    </row>
    <row r="4" spans="1:5" x14ac:dyDescent="0.25">
      <c r="A4">
        <f>$B$1*2</f>
        <v>10</v>
      </c>
      <c r="E4">
        <f>-5+($B$1*2)</f>
        <v>5</v>
      </c>
    </row>
    <row r="5" spans="1:5" x14ac:dyDescent="0.25">
      <c r="A5">
        <f>$B$1*2</f>
        <v>10</v>
      </c>
      <c r="E5">
        <f>0.1+($B$1*2)</f>
        <v>10.1</v>
      </c>
    </row>
    <row r="6" spans="1:5" x14ac:dyDescent="0.25">
      <c r="A6">
        <f>$B$1*2</f>
        <v>10</v>
      </c>
      <c r="E6">
        <f>100000000000000000000+($B$1*2)</f>
        <v>1E+20</v>
      </c>
    </row>
    <row r="7" spans="1:5" x14ac:dyDescent="0.25">
      <c r="A7">
        <f>$B$1*2</f>
        <v>10</v>
      </c>
      <c r="E7" t="e">
        <v>#N/A</v>
      </c>
    </row>
    <row r="11" spans="1:5" x14ac:dyDescent="0.25">
      <c r="A11">
        <f>B11*2</f>
        <v>10</v>
      </c>
      <c r="B11">
        <v>5</v>
      </c>
      <c r="E11">
        <f>(1+1)+(F11*2)</f>
        <v>2</v>
      </c>
    </row>
    <row r="12" spans="1:5" x14ac:dyDescent="0.25">
      <c r="A12">
        <f>B12*2</f>
        <v>10</v>
      </c>
      <c r="B12">
        <v>5</v>
      </c>
      <c r="E12" t="b">
        <v>1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17FA1-5337-40AC-B5A8-94EBA4ED83E3}">
  <dimension ref="A1:E3"/>
  <sheetViews>
    <sheetView workbookViewId="0">
      <selection activeCell="E1" sqref="E1:E3"/>
    </sheetView>
  </sheetViews>
  <sheetFormatPr defaultRowHeight="15" x14ac:dyDescent="0.25"/>
  <sheetData>
    <row r="1" spans="1:5" x14ac:dyDescent="0.25">
      <c r="A1">
        <f>$B$1*2</f>
        <v>10</v>
      </c>
      <c r="B1">
        <v>5</v>
      </c>
      <c r="E1">
        <f>(1+1)-($B$1*2)</f>
        <v>-8</v>
      </c>
    </row>
    <row r="2" spans="1:5" x14ac:dyDescent="0.25">
      <c r="A2">
        <f>$B$1*2</f>
        <v>10</v>
      </c>
      <c r="E2">
        <f>0-($B$1*2)</f>
        <v>-10</v>
      </c>
    </row>
    <row r="3" spans="1:5" x14ac:dyDescent="0.25">
      <c r="A3">
        <f>$B$1*2</f>
        <v>10</v>
      </c>
      <c r="E3" s="11">
        <f>4-($B$1*2)</f>
        <v>-6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C69D8-BC01-4E08-BFE5-D7A3F96ED930}">
  <dimension ref="A1:E40"/>
  <sheetViews>
    <sheetView workbookViewId="0">
      <selection activeCell="E1" sqref="E1:E40"/>
    </sheetView>
  </sheetViews>
  <sheetFormatPr defaultRowHeight="15" x14ac:dyDescent="0.25"/>
  <sheetData>
    <row r="1" spans="1:5" x14ac:dyDescent="0.25">
      <c r="A1">
        <f>$B$1*2</f>
        <v>10</v>
      </c>
      <c r="B1">
        <v>5</v>
      </c>
      <c r="E1">
        <f>1E+21+($B$1*2)</f>
        <v>1E+21</v>
      </c>
    </row>
    <row r="2" spans="1:5" x14ac:dyDescent="0.25">
      <c r="A2">
        <f>$B$1*2</f>
        <v>10</v>
      </c>
      <c r="E2">
        <f>1.5E+300+($B$1*2)</f>
        <v>1.5000000000000001E+300</v>
      </c>
    </row>
    <row r="3" spans="1:5" x14ac:dyDescent="0.25">
      <c r="A3">
        <f>$B$1*2</f>
        <v>10</v>
      </c>
      <c r="E3">
        <f>0.0000000001+($B$1*2)</f>
        <v>10.0000000001</v>
      </c>
    </row>
    <row r="4" spans="1:5" x14ac:dyDescent="0.25">
      <c r="A4">
        <f>$B$1*2</f>
        <v>10</v>
      </c>
      <c r="E4">
        <f>0.000001+($B$1*2)</f>
        <v>10.000000999999999</v>
      </c>
    </row>
    <row r="5" spans="1:5" x14ac:dyDescent="0.25">
      <c r="A5">
        <f>$B$1*2</f>
        <v>10</v>
      </c>
      <c r="E5">
        <f>0.333333333333333+($B$1*2)</f>
        <v>10.333333333333332</v>
      </c>
    </row>
    <row r="6" spans="1:5" x14ac:dyDescent="0.25">
      <c r="A6">
        <f>$B$1*2</f>
        <v>10</v>
      </c>
      <c r="E6">
        <f>123456789012346000+($B$1*2)</f>
        <v>1.2345678901234602E+17</v>
      </c>
    </row>
    <row r="7" spans="1:5" x14ac:dyDescent="0.25">
      <c r="A7">
        <f>$B$1*2</f>
        <v>10</v>
      </c>
      <c r="E7">
        <f>9007199254740990+($B$1*2)</f>
        <v>9007199254741000</v>
      </c>
    </row>
    <row r="8" spans="1:5" x14ac:dyDescent="0.25">
      <c r="A8">
        <f>$B$1*2</f>
        <v>10</v>
      </c>
      <c r="E8">
        <f>-0.5+($B$1*2)</f>
        <v>9.5</v>
      </c>
    </row>
    <row r="9" spans="1:5" x14ac:dyDescent="0.25">
      <c r="A9">
        <f>$B$1*2</f>
        <v>10</v>
      </c>
      <c r="E9">
        <f>1000000000000000+($B$1*2)</f>
        <v>1000000000000010</v>
      </c>
    </row>
    <row r="10" spans="1:5" x14ac:dyDescent="0.25">
      <c r="A10">
        <f>$B$1*2</f>
        <v>10</v>
      </c>
      <c r="E10">
        <f>12345.6789+($B$1*2)</f>
        <v>12355.678900000001</v>
      </c>
    </row>
    <row r="11" spans="1:5" x14ac:dyDescent="0.25">
      <c r="A11">
        <f>$B$1*2</f>
        <v>10</v>
      </c>
      <c r="E11">
        <f>0.00001+($B$1*2)</f>
        <v>10.00001</v>
      </c>
    </row>
    <row r="12" spans="1:5" x14ac:dyDescent="0.25">
      <c r="A12">
        <f>$B$1*2</f>
        <v>10</v>
      </c>
      <c r="E12">
        <f>100000000000000000000+($B$1*2)</f>
        <v>1E+20</v>
      </c>
    </row>
    <row r="13" spans="1:5" x14ac:dyDescent="0.25">
      <c r="A13">
        <f>$B$1*2</f>
        <v>10</v>
      </c>
      <c r="E13">
        <f>999999999999999000000+($B$1*2)</f>
        <v>9.9999999999999895E+20</v>
      </c>
    </row>
    <row r="14" spans="1:5" x14ac:dyDescent="0.25">
      <c r="A14">
        <f>$B$1*2</f>
        <v>10</v>
      </c>
      <c r="E14">
        <f>1.5E+21+($B$1*2)</f>
        <v>1.5E+21</v>
      </c>
    </row>
    <row r="15" spans="1:5" x14ac:dyDescent="0.25">
      <c r="A15">
        <f>$B$1*2</f>
        <v>10</v>
      </c>
      <c r="E15">
        <f>0.0000001+($B$1*2)</f>
        <v>10.000000099999999</v>
      </c>
    </row>
    <row r="16" spans="1:5" x14ac:dyDescent="0.25">
      <c r="A16">
        <f>$B$1*2</f>
        <v>10</v>
      </c>
      <c r="E16">
        <f>0.0000000000000000001+($B$1*2)</f>
        <v>10</v>
      </c>
    </row>
    <row r="17" spans="1:5" x14ac:dyDescent="0.25">
      <c r="A17">
        <f>$B$1*2</f>
        <v>10</v>
      </c>
      <c r="E17">
        <f>1E-20+($B$1*2)</f>
        <v>10</v>
      </c>
    </row>
    <row r="18" spans="1:5" x14ac:dyDescent="0.25">
      <c r="A18">
        <f>$B$1*2</f>
        <v>10</v>
      </c>
      <c r="E18">
        <f>1.23456789012345E-12+($B$1*2)</f>
        <v>10.000000000001235</v>
      </c>
    </row>
    <row r="19" spans="1:5" x14ac:dyDescent="0.25">
      <c r="A19">
        <f>$B$1*2</f>
        <v>10</v>
      </c>
      <c r="E19">
        <f>0.000123456789012345+($B$1*2)</f>
        <v>10.000123456789012</v>
      </c>
    </row>
    <row r="20" spans="1:5" x14ac:dyDescent="0.25">
      <c r="A20">
        <f>$B$1*2</f>
        <v>10</v>
      </c>
      <c r="E20">
        <f>1E-300+($B$1*2)</f>
        <v>10</v>
      </c>
    </row>
    <row r="21" spans="1:5" x14ac:dyDescent="0.25">
      <c r="A21">
        <f>$B$1*2</f>
        <v>10</v>
      </c>
      <c r="E21">
        <f>-1E-20+($B$1*2)</f>
        <v>10</v>
      </c>
    </row>
    <row r="22" spans="1:5" x14ac:dyDescent="0.25">
      <c r="A22">
        <f>$B$1*2</f>
        <v>10</v>
      </c>
      <c r="E22">
        <f>-1E+25+($B$1*2)</f>
        <v>-1.0000000000000001E+25</v>
      </c>
    </row>
    <row r="23" spans="1:5" x14ac:dyDescent="0.25">
      <c r="A23">
        <f>$B$1*2</f>
        <v>10</v>
      </c>
      <c r="E23">
        <f>0.142857142857143+($B$1*2)</f>
        <v>10.142857142857142</v>
      </c>
    </row>
    <row r="24" spans="1:5" x14ac:dyDescent="0.25">
      <c r="A24">
        <f>$B$1*2</f>
        <v>10</v>
      </c>
      <c r="E24">
        <f>0.666666666666667+($B$1*2)</f>
        <v>10.666666666666668</v>
      </c>
    </row>
    <row r="25" spans="1:5" x14ac:dyDescent="0.25">
      <c r="A25">
        <f>$B$1*2</f>
        <v>10</v>
      </c>
      <c r="E25">
        <f>1234567890123460+($B$1*2)</f>
        <v>1234567890123470</v>
      </c>
    </row>
    <row r="26" spans="1:5" x14ac:dyDescent="0.25">
      <c r="A26">
        <f>$B$1*2</f>
        <v>10</v>
      </c>
      <c r="E26">
        <f>-123.456+($B$1*2)</f>
        <v>-113.456</v>
      </c>
    </row>
    <row r="27" spans="1:5" x14ac:dyDescent="0.25">
      <c r="A27">
        <f>$B$1*2</f>
        <v>10</v>
      </c>
      <c r="E27">
        <f>-100000000000000000000+($B$1*2)</f>
        <v>-1E+20</v>
      </c>
    </row>
    <row r="28" spans="1:5" x14ac:dyDescent="0.25">
      <c r="A28">
        <f>$B$1*2</f>
        <v>10</v>
      </c>
      <c r="E28">
        <f>-0.0000000000000000001+($B$1*2)</f>
        <v>10</v>
      </c>
    </row>
    <row r="29" spans="1:5" x14ac:dyDescent="0.25">
      <c r="A29">
        <f>$B$1*2</f>
        <v>10</v>
      </c>
      <c r="E29">
        <f>1.2345E-17+($B$1*2)</f>
        <v>10</v>
      </c>
    </row>
    <row r="30" spans="1:5" x14ac:dyDescent="0.25">
      <c r="A30">
        <f>$B$1*2</f>
        <v>10</v>
      </c>
      <c r="E30">
        <f>0.000000000000000001+($B$1*2)</f>
        <v>10</v>
      </c>
    </row>
    <row r="31" spans="1:5" x14ac:dyDescent="0.25">
      <c r="A31">
        <f>$B$1*2</f>
        <v>10</v>
      </c>
      <c r="E31">
        <f>9.99999999999999E+307+($B$1*2)</f>
        <v>9.9999999999999901E+307</v>
      </c>
    </row>
    <row r="32" spans="1:5" x14ac:dyDescent="0.25">
      <c r="A32">
        <f>$B$1*2</f>
        <v>10</v>
      </c>
      <c r="E32">
        <f>1.23456789012345E-07+($B$1*2)</f>
        <v>10.00000012345679</v>
      </c>
    </row>
    <row r="33" spans="1:5" x14ac:dyDescent="0.25">
      <c r="A33">
        <f>$B$1*2</f>
        <v>10</v>
      </c>
      <c r="E33">
        <f>1000000000000000+($B$1*2)</f>
        <v>1000000000000010</v>
      </c>
    </row>
    <row r="34" spans="1:5" x14ac:dyDescent="0.25">
      <c r="A34">
        <f>$B$1*2</f>
        <v>10</v>
      </c>
      <c r="E34">
        <f>1000000000000010+($B$1*2)</f>
        <v>1000000000000020</v>
      </c>
    </row>
    <row r="35" spans="1:5" x14ac:dyDescent="0.25">
      <c r="A35">
        <f>$B$1*2</f>
        <v>10</v>
      </c>
      <c r="E35">
        <f>1000000000000020+($B$1*2)</f>
        <v>1000000000000030</v>
      </c>
    </row>
    <row r="36" spans="1:5" x14ac:dyDescent="0.25">
      <c r="A36">
        <f>$B$1*2</f>
        <v>10</v>
      </c>
      <c r="E36">
        <f>0.000000123+($B$1*2)</f>
        <v>10.000000123</v>
      </c>
    </row>
    <row r="37" spans="1:5" x14ac:dyDescent="0.25">
      <c r="A37">
        <f>$B$1*2</f>
        <v>10</v>
      </c>
      <c r="E37">
        <f>0.3+($B$1*2)</f>
        <v>10.3</v>
      </c>
    </row>
    <row r="38" spans="1:5" x14ac:dyDescent="0.25">
      <c r="A38">
        <f>$B$1*2</f>
        <v>10</v>
      </c>
      <c r="E38">
        <f>1234567890.12346+($B$1*2)</f>
        <v>1234567900.1234601</v>
      </c>
    </row>
    <row r="39" spans="1:5" x14ac:dyDescent="0.25">
      <c r="A39">
        <f>$B$1*2</f>
        <v>10</v>
      </c>
      <c r="E39">
        <f>12345678901234600000+($B$1*2)</f>
        <v>1.23456789012346E+19</v>
      </c>
    </row>
    <row r="40" spans="1:5" x14ac:dyDescent="0.25">
      <c r="A40">
        <f>$B$1*2</f>
        <v>10</v>
      </c>
      <c r="E40">
        <f>0.5+($B$1*2)</f>
        <v>10.5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C87CC-7DF9-401A-BB09-3C880EB4384D}">
  <dimension ref="A1:E10"/>
  <sheetViews>
    <sheetView workbookViewId="0">
      <selection activeCell="E1" sqref="E1:E10"/>
    </sheetView>
  </sheetViews>
  <sheetFormatPr defaultRowHeight="15" x14ac:dyDescent="0.25"/>
  <sheetData>
    <row r="1" spans="1:5" x14ac:dyDescent="0.25">
      <c r="A1">
        <v>1E+21</v>
      </c>
      <c r="E1">
        <f>(1+1)+1E+21</f>
        <v>1E+21</v>
      </c>
    </row>
    <row r="2" spans="1:5" x14ac:dyDescent="0.25">
      <c r="A2">
        <v>1.5000000000000001E+300</v>
      </c>
      <c r="E2">
        <f>(1+1)+1.5E+300</f>
        <v>1.5000000000000001E+300</v>
      </c>
    </row>
    <row r="3" spans="1:5" x14ac:dyDescent="0.25">
      <c r="A3">
        <v>1E-10</v>
      </c>
      <c r="E3">
        <f>(1+1)+0.0000000001</f>
        <v>2.0000000001</v>
      </c>
    </row>
    <row r="4" spans="1:5" x14ac:dyDescent="0.25">
      <c r="A4">
        <v>0.33333333333333331</v>
      </c>
      <c r="E4">
        <f>(1+1)+0.333333333333333</f>
        <v>2.333333333333333</v>
      </c>
    </row>
    <row r="5" spans="1:5" x14ac:dyDescent="0.25">
      <c r="A5">
        <v>-0.5</v>
      </c>
      <c r="E5">
        <f>(1+1)+-0.5</f>
        <v>1.5</v>
      </c>
    </row>
    <row r="6" spans="1:5" x14ac:dyDescent="0.25">
      <c r="A6">
        <v>1.0000000000000001E-5</v>
      </c>
      <c r="E6">
        <f>(1+1)+0.00001</f>
        <v>2.0000100000000001</v>
      </c>
    </row>
    <row r="7" spans="1:5" x14ac:dyDescent="0.25">
      <c r="A7">
        <v>0.30000000000000004</v>
      </c>
      <c r="E7">
        <f>(1+1)+0.3</f>
        <v>2.2999999999999998</v>
      </c>
    </row>
    <row r="8" spans="1:5" x14ac:dyDescent="0.25">
      <c r="A8">
        <v>1234567890123456</v>
      </c>
      <c r="E8">
        <f>(1+1)+1234567890123460</f>
        <v>1234567890123462</v>
      </c>
    </row>
    <row r="9" spans="1:5" x14ac:dyDescent="0.25">
      <c r="A9">
        <v>9.9999999999999995E-21</v>
      </c>
      <c r="E9">
        <f>(1+1)+1E-20</f>
        <v>2</v>
      </c>
    </row>
    <row r="10" spans="1:5" x14ac:dyDescent="0.25">
      <c r="A10">
        <v>1.23456789012345E-12</v>
      </c>
      <c r="E10">
        <f>(1+1)+1.23456789012345E-12</f>
        <v>2.0000000000012346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7214C-2F38-4C2E-83A1-E6A9B75AA53C}">
  <dimension ref="A1:E6"/>
  <sheetViews>
    <sheetView workbookViewId="0">
      <selection activeCell="E6" sqref="E6"/>
    </sheetView>
  </sheetViews>
  <sheetFormatPr defaultRowHeight="15" x14ac:dyDescent="0.25"/>
  <sheetData>
    <row r="1" spans="1:5" x14ac:dyDescent="0.25">
      <c r="A1">
        <v>10</v>
      </c>
      <c r="E1" t="e">
        <f>("a")+10</f>
        <v>#VALUE!</v>
      </c>
    </row>
    <row r="2" spans="1:5" x14ac:dyDescent="0.25">
      <c r="A2">
        <v>10</v>
      </c>
      <c r="E2" t="e">
        <f>(1/0)+10</f>
        <v>#DIV/0!</v>
      </c>
    </row>
    <row r="4" spans="1:5" x14ac:dyDescent="0.25">
      <c r="A4" t="str">
        <f>"x"</f>
        <v>x</v>
      </c>
      <c r="E4" t="e">
        <f>3+("x")</f>
        <v>#VALUE!</v>
      </c>
    </row>
    <row r="5" spans="1:5" x14ac:dyDescent="0.25">
      <c r="A5" t="e">
        <f>1/0</f>
        <v>#DIV/0!</v>
      </c>
      <c r="E5" t="e">
        <f>3+(1/0)</f>
        <v>#DIV/0!</v>
      </c>
    </row>
    <row r="6" spans="1:5" x14ac:dyDescent="0.25">
      <c r="A6" t="str">
        <f>"x"</f>
        <v>x</v>
      </c>
      <c r="E6">
        <v>3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7D486-1B1F-4D86-AD01-A62DA73A44DB}">
  <dimension ref="E1:G2"/>
  <sheetViews>
    <sheetView workbookViewId="0">
      <selection activeCell="G1" sqref="G1:G2"/>
    </sheetView>
  </sheetViews>
  <sheetFormatPr defaultRowHeight="15" x14ac:dyDescent="0.25"/>
  <sheetData>
    <row r="1" spans="5:7" x14ac:dyDescent="0.25">
      <c r="E1">
        <f>(1+1)+0</f>
        <v>2</v>
      </c>
      <c r="G1">
        <f>1+1</f>
        <v>2</v>
      </c>
    </row>
    <row r="2" spans="5:7" x14ac:dyDescent="0.25">
      <c r="E2">
        <f>(1+1)+0</f>
        <v>2</v>
      </c>
      <c r="G2">
        <f>1+1</f>
        <v>2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27CC8-3C90-4F22-8A3B-23C03F6C01EF}">
  <dimension ref="A1:F2"/>
  <sheetViews>
    <sheetView workbookViewId="0">
      <selection activeCell="E1" sqref="E1:F2"/>
    </sheetView>
  </sheetViews>
  <sheetFormatPr defaultRowHeight="15" x14ac:dyDescent="0.25"/>
  <sheetData>
    <row r="1" spans="1:6" x14ac:dyDescent="0.25">
      <c r="A1">
        <f t="array" ref="A1:A2">C1:C2*2</f>
        <v>8</v>
      </c>
      <c r="B1" cm="1">
        <f t="array" ref="B1:B2">_xlfn.SEQUENCE(2)</f>
        <v>1</v>
      </c>
      <c r="C1">
        <v>4</v>
      </c>
      <c r="E1">
        <f>3+(G1:G2*2)</f>
        <v>3</v>
      </c>
      <c r="F1">
        <f>3+(_xlfn.SEQUENCE(2))</f>
        <v>4</v>
      </c>
    </row>
    <row r="2" spans="1:6" x14ac:dyDescent="0.25">
      <c r="A2">
        <v>8</v>
      </c>
      <c r="B2">
        <v>2</v>
      </c>
      <c r="C2">
        <v>4</v>
      </c>
      <c r="E2">
        <f>3+(G2:G3*2)</f>
        <v>3</v>
      </c>
      <c r="F2">
        <f>3+(_xlfn.SEQUENCE(2))</f>
        <v>4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62E20-6C68-421C-AB38-07C1D3EDE905}">
  <dimension ref="A1:E2"/>
  <sheetViews>
    <sheetView workbookViewId="0">
      <selection activeCell="E1" sqref="E1:E2"/>
    </sheetView>
  </sheetViews>
  <sheetFormatPr defaultRowHeight="15" x14ac:dyDescent="0.25"/>
  <sheetData>
    <row r="1" spans="1:5" x14ac:dyDescent="0.25">
      <c r="A1">
        <v>1</v>
      </c>
      <c r="C1">
        <v>4</v>
      </c>
      <c r="E1">
        <f t="array" ref="E1:E2">C1:C2*2</f>
        <v>8</v>
      </c>
    </row>
    <row r="2" spans="1:5" x14ac:dyDescent="0.25">
      <c r="A2">
        <v>1</v>
      </c>
      <c r="C2">
        <v>4</v>
      </c>
      <c r="E2">
        <v>8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03518-A10A-4FD2-A4CE-440344CCB845}">
  <dimension ref="A1:E2"/>
  <sheetViews>
    <sheetView workbookViewId="0">
      <selection activeCell="E2" sqref="E2"/>
    </sheetView>
  </sheetViews>
  <sheetFormatPr defaultRowHeight="15" x14ac:dyDescent="0.25"/>
  <sheetData>
    <row r="1" spans="1:5" x14ac:dyDescent="0.25">
      <c r="A1">
        <v>1.0000000000000001E+300</v>
      </c>
      <c r="E1" t="e">
        <v>#NUM!</v>
      </c>
    </row>
    <row r="2" spans="1:5" x14ac:dyDescent="0.25">
      <c r="A2">
        <v>0</v>
      </c>
      <c r="E2" t="e">
        <v>#DIV/0!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8BEC8-4D3E-45C3-B237-7055DE9396DD}">
  <dimension ref="A1:F2"/>
  <sheetViews>
    <sheetView workbookViewId="0">
      <selection activeCell="E1" sqref="E1:F1"/>
    </sheetView>
  </sheetViews>
  <sheetFormatPr defaultRowHeight="15" x14ac:dyDescent="0.25"/>
  <sheetData>
    <row r="1" spans="1:6" x14ac:dyDescent="0.25">
      <c r="A1">
        <v>1</v>
      </c>
      <c r="E1">
        <v>11</v>
      </c>
      <c r="F1">
        <v>22</v>
      </c>
    </row>
    <row r="2" spans="1:6" x14ac:dyDescent="0.25">
      <c r="A2">
        <v>2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BFB4A-AA24-4CD4-892E-1E8EC18B4AB9}">
  <dimension ref="A1:A6"/>
  <sheetViews>
    <sheetView workbookViewId="0">
      <selection activeCell="A5" sqref="A5:XFD6"/>
    </sheetView>
  </sheetViews>
  <sheetFormatPr defaultRowHeight="15" x14ac:dyDescent="0.25"/>
  <sheetData>
    <row r="1" spans="1:1" ht="30" customHeight="1" x14ac:dyDescent="0.25">
      <c r="A1" s="15">
        <v>1</v>
      </c>
    </row>
    <row r="2" spans="1:1" s="5" customFormat="1" hidden="1" x14ac:dyDescent="0.25">
      <c r="A2" s="5">
        <v>1</v>
      </c>
    </row>
    <row r="5" spans="1:1" ht="30" customHeight="1" x14ac:dyDescent="0.25">
      <c r="A5" s="15"/>
    </row>
    <row r="6" spans="1:1" s="5" customFormat="1" hidden="1" x14ac:dyDescent="0.25">
      <c r="A6" s="5">
        <v>9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4954F-F8BF-4111-A751-C2500C52CCB7}">
  <dimension ref="A1:A6"/>
  <sheetViews>
    <sheetView workbookViewId="0">
      <selection activeCell="A5" sqref="A5:XFD6"/>
    </sheetView>
  </sheetViews>
  <sheetFormatPr defaultRowHeight="15" x14ac:dyDescent="0.25"/>
  <sheetData>
    <row r="1" spans="1:1" ht="30" customHeight="1" x14ac:dyDescent="0.25">
      <c r="A1" s="15">
        <v>1</v>
      </c>
    </row>
    <row r="2" spans="1:1" s="5" customFormat="1" hidden="1" x14ac:dyDescent="0.25">
      <c r="A2" s="5">
        <v>1</v>
      </c>
    </row>
    <row r="5" spans="1:1" x14ac:dyDescent="0.25">
      <c r="A5">
        <v>1</v>
      </c>
    </row>
    <row r="6" spans="1:1" ht="39.950000000000003" customHeight="1" x14ac:dyDescent="0.25">
      <c r="A6">
        <v>1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0652F-D675-4658-83A4-BFF9DE225BBD}">
  <dimension ref="A1:A6"/>
  <sheetViews>
    <sheetView workbookViewId="0">
      <selection activeCell="A5" sqref="A5:XFD6"/>
    </sheetView>
  </sheetViews>
  <sheetFormatPr defaultRowHeight="15" x14ac:dyDescent="0.25"/>
  <sheetData>
    <row r="1" spans="1:1" ht="30" customHeight="1" x14ac:dyDescent="0.25">
      <c r="A1" s="15">
        <v>1</v>
      </c>
    </row>
    <row r="2" spans="1:1" s="5" customFormat="1" hidden="1" x14ac:dyDescent="0.25">
      <c r="A2" s="5">
        <v>1</v>
      </c>
    </row>
    <row r="5" spans="1:1" ht="30" customHeight="1" x14ac:dyDescent="0.25">
      <c r="A5" s="19">
        <v>1</v>
      </c>
    </row>
    <row r="6" spans="1:1" s="5" customFormat="1" hidden="1" x14ac:dyDescent="0.25">
      <c r="A6" s="5">
        <v>1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C350C-B22D-487E-A012-DAF01B4D2852}">
  <dimension ref="A1:F1"/>
  <sheetViews>
    <sheetView workbookViewId="0">
      <selection activeCell="E1" sqref="E1:F1048576"/>
    </sheetView>
  </sheetViews>
  <sheetFormatPr defaultRowHeight="15" x14ac:dyDescent="0.25"/>
  <cols>
    <col min="1" max="1" width="20.7109375" customWidth="1"/>
    <col min="2" max="2" width="0" style="5" hidden="1" customWidth="1"/>
    <col min="5" max="5" width="9.140625" style="9"/>
    <col min="6" max="6" width="30.7109375" customWidth="1"/>
  </cols>
  <sheetData>
    <row r="1" spans="1:6" x14ac:dyDescent="0.25">
      <c r="A1">
        <v>1</v>
      </c>
      <c r="B1" s="5">
        <v>1</v>
      </c>
      <c r="E1" s="9">
        <v>1</v>
      </c>
      <c r="F1">
        <v>1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C9802-6D42-487F-85F7-C35EA5D1D9DB}">
  <dimension ref="A1:F1"/>
  <sheetViews>
    <sheetView workbookViewId="0">
      <selection activeCell="E1" sqref="E1:F1048576"/>
    </sheetView>
  </sheetViews>
  <sheetFormatPr defaultRowHeight="15" x14ac:dyDescent="0.25"/>
  <cols>
    <col min="1" max="1" width="20.7109375" customWidth="1"/>
    <col min="2" max="2" width="0" style="5" hidden="1" customWidth="1"/>
    <col min="5" max="5" width="20.7109375" customWidth="1"/>
    <col min="6" max="6" width="0" style="5" hidden="1" customWidth="1"/>
  </cols>
  <sheetData>
    <row r="1" spans="1:2" x14ac:dyDescent="0.25">
      <c r="A1">
        <v>1</v>
      </c>
      <c r="B1" s="5">
        <v>1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C7A8E-33FF-423A-BD61-3013618EEC8F}">
  <dimension ref="A1:E1"/>
  <sheetViews>
    <sheetView workbookViewId="0">
      <selection activeCell="E1" sqref="E1:F1048576"/>
    </sheetView>
  </sheetViews>
  <sheetFormatPr defaultRowHeight="15" x14ac:dyDescent="0.25"/>
  <cols>
    <col min="1" max="1" width="20.7109375" customWidth="1"/>
    <col min="2" max="2" width="0" style="5" hidden="1" customWidth="1"/>
    <col min="5" max="5" width="20.7109375" style="9" customWidth="1"/>
    <col min="6" max="6" width="0" hidden="1" customWidth="1"/>
  </cols>
  <sheetData>
    <row r="1" spans="1:2" x14ac:dyDescent="0.25">
      <c r="A1">
        <v>1</v>
      </c>
      <c r="B1" s="5">
        <v>1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DDF6D-759F-4A16-BCFE-42FD2DC8D911}">
  <dimension ref="B1:F5"/>
  <sheetViews>
    <sheetView workbookViewId="0">
      <selection activeCell="F1" sqref="F1:F1048576"/>
    </sheetView>
  </sheetViews>
  <sheetFormatPr defaultRowHeight="15" x14ac:dyDescent="0.25"/>
  <cols>
    <col min="2" max="2" width="9.140625" style="5"/>
    <col min="6" max="6" width="9.140625" style="5"/>
  </cols>
  <sheetData>
    <row r="1" spans="2:6" x14ac:dyDescent="0.25">
      <c r="B1" s="5">
        <v>1</v>
      </c>
      <c r="F1" s="5">
        <v>9</v>
      </c>
    </row>
    <row r="2" spans="2:6" x14ac:dyDescent="0.25">
      <c r="B2" s="14">
        <v>2</v>
      </c>
      <c r="F2" s="14"/>
    </row>
    <row r="3" spans="2:6" x14ac:dyDescent="0.25">
      <c r="B3" s="14"/>
      <c r="F3" s="14"/>
    </row>
    <row r="5" spans="2:6" x14ac:dyDescent="0.25">
      <c r="F5" s="5">
        <v>9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9DD34-5435-40F0-AB99-73718BDC3517}">
  <dimension ref="A2:E6"/>
  <sheetViews>
    <sheetView workbookViewId="0">
      <selection activeCell="A6" sqref="A6:XFD6"/>
    </sheetView>
  </sheetViews>
  <sheetFormatPr defaultRowHeight="15" x14ac:dyDescent="0.25"/>
  <sheetData>
    <row r="2" spans="1:5" s="5" customFormat="1" x14ac:dyDescent="0.25">
      <c r="A2" s="5">
        <v>1</v>
      </c>
      <c r="B2" s="14">
        <v>2</v>
      </c>
      <c r="C2" s="14"/>
    </row>
    <row r="6" spans="1:5" s="5" customFormat="1" x14ac:dyDescent="0.25">
      <c r="A6" s="5">
        <v>9</v>
      </c>
      <c r="B6" s="14"/>
      <c r="C6" s="14"/>
      <c r="E6" s="5">
        <v>9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0589E-E4D4-4EE4-A1DF-2F2AAEAED1A0}">
  <dimension ref="A1:H7"/>
  <sheetViews>
    <sheetView workbookViewId="0">
      <selection activeCell="H5" sqref="H5:H7"/>
    </sheetView>
  </sheetViews>
  <sheetFormatPr defaultRowHeight="15" x14ac:dyDescent="0.25"/>
  <cols>
    <col min="3" max="3" width="9.140625" style="9"/>
  </cols>
  <sheetData>
    <row r="1" spans="1:8" x14ac:dyDescent="0.25">
      <c r="C1" s="9">
        <v>1</v>
      </c>
    </row>
    <row r="2" spans="1:8" s="5" customFormat="1" x14ac:dyDescent="0.25">
      <c r="A2" s="5">
        <v>1</v>
      </c>
      <c r="C2" s="9"/>
    </row>
    <row r="5" spans="1:8" x14ac:dyDescent="0.25">
      <c r="E5" s="5">
        <v>1</v>
      </c>
      <c r="F5" s="5"/>
      <c r="G5" s="9"/>
      <c r="H5" s="9">
        <v>1</v>
      </c>
    </row>
    <row r="6" spans="1:8" x14ac:dyDescent="0.25">
      <c r="H6" s="9"/>
    </row>
    <row r="7" spans="1:8" x14ac:dyDescent="0.25">
      <c r="H7" s="9"/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C52D9-328E-4686-AEF2-A9124FFAC1FC}">
  <dimension ref="A1:F8"/>
  <sheetViews>
    <sheetView workbookViewId="0">
      <selection activeCell="A8" sqref="A8:XFD8"/>
    </sheetView>
  </sheetViews>
  <sheetFormatPr defaultRowHeight="15" x14ac:dyDescent="0.25"/>
  <cols>
    <col min="2" max="2" width="9.140625" style="5"/>
    <col min="6" max="6" width="9.140625" style="5"/>
  </cols>
  <sheetData>
    <row r="1" spans="1:6" x14ac:dyDescent="0.25">
      <c r="A1">
        <v>1</v>
      </c>
      <c r="B1" s="5">
        <v>1</v>
      </c>
      <c r="E1">
        <v>1</v>
      </c>
      <c r="F1" s="5">
        <v>1</v>
      </c>
    </row>
    <row r="3" spans="1:6" s="9" customFormat="1" ht="24.95" customHeight="1" x14ac:dyDescent="0.25"/>
    <row r="8" spans="1:6" s="9" customFormat="1" ht="24.95" customHeight="1" x14ac:dyDescent="0.25"/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C6B22-58A0-4399-95C0-324926715B1E}">
  <dimension ref="A1:C1"/>
  <sheetViews>
    <sheetView workbookViewId="0">
      <selection activeCell="E1" sqref="E1:G1"/>
    </sheetView>
  </sheetViews>
  <sheetFormatPr defaultRowHeight="15" x14ac:dyDescent="0.25"/>
  <cols>
    <col min="1" max="1" width="12.7109375" customWidth="1"/>
    <col min="2" max="2" width="0" hidden="1" customWidth="1"/>
    <col min="5" max="5" width="12.7109375" customWidth="1"/>
    <col min="6" max="6" width="0" hidden="1" customWidth="1"/>
  </cols>
  <sheetData>
    <row r="1" spans="1:3" x14ac:dyDescent="0.25">
      <c r="A1">
        <v>1</v>
      </c>
      <c r="B1">
        <v>1</v>
      </c>
      <c r="C1">
        <v>1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7F437-8E59-406E-B2C7-8FE1B88E6456}">
  <dimension ref="A1:E2"/>
  <sheetViews>
    <sheetView workbookViewId="0">
      <selection activeCell="E2" sqref="E2"/>
    </sheetView>
  </sheetViews>
  <sheetFormatPr defaultRowHeight="15" x14ac:dyDescent="0.25"/>
  <sheetData>
    <row r="1" spans="1:5" x14ac:dyDescent="0.25">
      <c r="A1">
        <v>1</v>
      </c>
      <c r="E1" s="8">
        <v>1</v>
      </c>
    </row>
    <row r="2" spans="1:5" x14ac:dyDescent="0.25">
      <c r="A2" s="14">
        <v>1</v>
      </c>
      <c r="E2" s="14">
        <v>3</v>
      </c>
    </row>
  </sheetData>
  <hyperlinks>
    <hyperlink ref="E1" r:id="rId1" display="https://example.com/one" xr:uid="{855EC70D-D289-433E-9123-5F371CC18AE8}"/>
    <hyperlink ref="E2" r:id="rId2" display="https://example.com/two" xr:uid="{36870B7B-1522-4590-B35C-A90E4911E5E4}"/>
  </hyperlink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54206-B1BB-4F9B-9305-A6D1EB7B8FEB}">
  <dimension ref="A1:H2"/>
  <sheetViews>
    <sheetView workbookViewId="0">
      <selection activeCell="H1" sqref="H1"/>
    </sheetView>
  </sheetViews>
  <sheetFormatPr defaultRowHeight="15" x14ac:dyDescent="0.25"/>
  <sheetData>
    <row r="1" spans="1:8" x14ac:dyDescent="0.25">
      <c r="A1" s="14">
        <v>1</v>
      </c>
      <c r="B1" t="s">
        <v>0</v>
      </c>
      <c r="E1">
        <f t="shared" ref="E1:F2" si="0">A1</f>
        <v>1</v>
      </c>
      <c r="F1" t="str">
        <f t="shared" si="0"/>
        <v>t</v>
      </c>
      <c r="H1">
        <f>$A$1</f>
        <v>1</v>
      </c>
    </row>
    <row r="2" spans="1:8" x14ac:dyDescent="0.25">
      <c r="B2">
        <f>A1</f>
        <v>1</v>
      </c>
      <c r="E2">
        <f t="shared" si="0"/>
        <v>0</v>
      </c>
      <c r="F2">
        <f t="shared" si="0"/>
        <v>1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E1F8A-BB75-46B1-9CA4-4A5FCB9CED9E}">
  <dimension ref="A1:F2"/>
  <sheetViews>
    <sheetView workbookViewId="0">
      <selection activeCell="E1" sqref="E1:F2"/>
    </sheetView>
  </sheetViews>
  <sheetFormatPr defaultRowHeight="15" x14ac:dyDescent="0.25"/>
  <sheetData>
    <row r="1" spans="1:6" x14ac:dyDescent="0.25">
      <c r="A1">
        <v>1</v>
      </c>
      <c r="B1">
        <v>2</v>
      </c>
      <c r="E1" s="16">
        <f t="shared" ref="E1:F2" si="0">A1</f>
        <v>1</v>
      </c>
      <c r="F1">
        <f t="shared" si="0"/>
        <v>2</v>
      </c>
    </row>
    <row r="2" spans="1:6" x14ac:dyDescent="0.25">
      <c r="E2">
        <f t="shared" si="0"/>
        <v>0</v>
      </c>
      <c r="F2" s="8">
        <f t="shared" si="0"/>
        <v>0</v>
      </c>
    </row>
  </sheetData>
  <hyperlinks>
    <hyperlink ref="F2" r:id="rId1" display="https://example.com/kept" xr:uid="{AE673FFD-D599-4266-BCAD-F8B05E7A64DF}"/>
  </hyperlinks>
  <pageMargins left="0.7" right="0.7" top="0.75" bottom="0.75" header="0.3" footer="0.3"/>
  <legacy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790C0-EB3D-4F89-9309-D9336660C327}">
  <dimension ref="A1:G4"/>
  <sheetViews>
    <sheetView workbookViewId="0">
      <selection activeCell="G1" sqref="G1:G4"/>
    </sheetView>
  </sheetViews>
  <sheetFormatPr defaultRowHeight="15" x14ac:dyDescent="0.25"/>
  <sheetData>
    <row r="1" spans="1:7" x14ac:dyDescent="0.25">
      <c r="A1">
        <v>1</v>
      </c>
      <c r="E1">
        <f t="shared" ref="E1:E3" si="0">$A$1</f>
        <v>1</v>
      </c>
      <c r="G1">
        <f t="shared" ref="G1:G4" si="1">A1</f>
        <v>1</v>
      </c>
    </row>
    <row r="2" spans="1:7" x14ac:dyDescent="0.25">
      <c r="A2">
        <v>2</v>
      </c>
      <c r="E2">
        <f t="shared" si="0"/>
        <v>1</v>
      </c>
      <c r="G2">
        <f t="shared" si="1"/>
        <v>2</v>
      </c>
    </row>
    <row r="3" spans="1:7" x14ac:dyDescent="0.25">
      <c r="E3">
        <f t="shared" si="0"/>
        <v>1</v>
      </c>
      <c r="G3">
        <f t="shared" si="1"/>
        <v>0</v>
      </c>
    </row>
    <row r="4" spans="1:7" x14ac:dyDescent="0.25">
      <c r="G4">
        <f t="shared" si="1"/>
        <v>0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B01D3-8748-4460-AA5E-646ADDDB1963}">
  <sheetPr filterMode="1"/>
  <dimension ref="A1:C6"/>
  <sheetViews>
    <sheetView workbookViewId="0">
      <selection activeCell="C1" sqref="C1:C4"/>
    </sheetView>
  </sheetViews>
  <sheetFormatPr defaultRowHeight="15" x14ac:dyDescent="0.25"/>
  <sheetData>
    <row r="1" spans="1:3" x14ac:dyDescent="0.25">
      <c r="A1" t="s">
        <v>8</v>
      </c>
      <c r="C1" t="str">
        <f>$A$1</f>
        <v>h</v>
      </c>
    </row>
    <row r="2" spans="1:3" hidden="1" x14ac:dyDescent="0.25">
      <c r="A2">
        <v>1</v>
      </c>
    </row>
    <row r="3" spans="1:3" hidden="1" x14ac:dyDescent="0.25">
      <c r="A3">
        <v>2</v>
      </c>
    </row>
    <row r="4" spans="1:3" x14ac:dyDescent="0.25">
      <c r="A4">
        <v>3</v>
      </c>
      <c r="C4">
        <f>A6</f>
        <v>5</v>
      </c>
    </row>
    <row r="5" spans="1:3" x14ac:dyDescent="0.25">
      <c r="A5">
        <v>4</v>
      </c>
    </row>
    <row r="6" spans="1:3" x14ac:dyDescent="0.25">
      <c r="A6">
        <v>5</v>
      </c>
    </row>
  </sheetData>
  <autoFilter ref="A1:A6" xr:uid="{3F0B01D3-8748-4460-AA5E-646ADDDB1963}">
    <filterColumn colId="0">
      <customFilters>
        <customFilter operator="greaterThan" val="2"/>
      </customFilters>
    </filterColumn>
  </autoFilter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DF1E7-21E2-4A66-9917-BFA58AEFCD7E}">
  <dimension ref="A1:F1"/>
  <sheetViews>
    <sheetView tabSelected="1" workbookViewId="0">
      <selection activeCell="E1" sqref="E1:F1"/>
    </sheetView>
  </sheetViews>
  <sheetFormatPr defaultRowHeight="15" x14ac:dyDescent="0.25"/>
  <sheetData>
    <row r="1" spans="1:6" x14ac:dyDescent="0.25">
      <c r="A1">
        <v>1</v>
      </c>
      <c r="B1">
        <v>1</v>
      </c>
      <c r="E1" s="7">
        <f t="shared" ref="E1:F1" si="0">A1</f>
        <v>1</v>
      </c>
      <c r="F1" s="7"/>
    </row>
  </sheetData>
  <mergeCells count="1">
    <mergeCell ref="E1:F1"/>
  </mergeCell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6A617-C750-4C31-8D4A-67265B734BBE}">
  <sheetPr filterMode="1"/>
  <dimension ref="A1:C6"/>
  <sheetViews>
    <sheetView workbookViewId="0">
      <selection activeCell="C1" sqref="C1:C4"/>
    </sheetView>
  </sheetViews>
  <sheetFormatPr defaultRowHeight="15" x14ac:dyDescent="0.25"/>
  <sheetData>
    <row r="1" spans="1:3" x14ac:dyDescent="0.25">
      <c r="A1" t="s">
        <v>8</v>
      </c>
      <c r="C1" t="s">
        <v>8</v>
      </c>
    </row>
    <row r="2" spans="1:3" hidden="1" x14ac:dyDescent="0.25">
      <c r="A2">
        <v>1</v>
      </c>
      <c r="C2">
        <v>3</v>
      </c>
    </row>
    <row r="3" spans="1:3" hidden="1" x14ac:dyDescent="0.25">
      <c r="A3">
        <v>2</v>
      </c>
      <c r="C3">
        <v>4</v>
      </c>
    </row>
    <row r="4" spans="1:3" x14ac:dyDescent="0.25">
      <c r="A4">
        <v>3</v>
      </c>
      <c r="C4">
        <v>5</v>
      </c>
    </row>
    <row r="5" spans="1:3" x14ac:dyDescent="0.25">
      <c r="A5">
        <v>4</v>
      </c>
    </row>
    <row r="6" spans="1:3" x14ac:dyDescent="0.25">
      <c r="A6">
        <v>5</v>
      </c>
    </row>
  </sheetData>
  <autoFilter ref="A1:A6" xr:uid="{5EB6A617-C750-4C31-8D4A-67265B734BBE}">
    <filterColumn colId="0">
      <customFilters>
        <customFilter operator="greaterThan" val="2"/>
      </customFilters>
    </filterColumn>
  </autoFilter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2ACF8-19EA-4920-AECC-348D608BED96}">
  <dimension ref="A1:E4"/>
  <sheetViews>
    <sheetView workbookViewId="0">
      <selection activeCell="E1" sqref="E1:E4"/>
    </sheetView>
  </sheetViews>
  <sheetFormatPr defaultRowHeight="15" x14ac:dyDescent="0.25"/>
  <sheetData>
    <row r="1" spans="1:5" x14ac:dyDescent="0.25">
      <c r="A1">
        <v>1</v>
      </c>
      <c r="E1">
        <v>1</v>
      </c>
    </row>
    <row r="2" spans="1:5" x14ac:dyDescent="0.25">
      <c r="A2">
        <v>2</v>
      </c>
      <c r="E2">
        <v>2</v>
      </c>
    </row>
    <row r="3" spans="1:5" x14ac:dyDescent="0.25">
      <c r="E3">
        <v>1</v>
      </c>
    </row>
    <row r="4" spans="1:5" x14ac:dyDescent="0.25">
      <c r="E4">
        <v>2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55031-2F3D-4A08-93B2-012FFB6ED74C}">
  <dimension ref="A1:I4"/>
  <sheetViews>
    <sheetView workbookViewId="0">
      <selection activeCell="H1" sqref="H1:I4"/>
    </sheetView>
  </sheetViews>
  <sheetFormatPr defaultRowHeight="15" x14ac:dyDescent="0.25"/>
  <sheetData>
    <row r="1" spans="1:9" x14ac:dyDescent="0.25">
      <c r="A1" t="s">
        <v>9</v>
      </c>
      <c r="B1" t="s">
        <v>10</v>
      </c>
      <c r="H1" t="s">
        <v>9</v>
      </c>
      <c r="I1" t="s">
        <v>10</v>
      </c>
    </row>
    <row r="2" spans="1:9" x14ac:dyDescent="0.25">
      <c r="A2">
        <v>1</v>
      </c>
      <c r="B2">
        <v>1</v>
      </c>
      <c r="E2">
        <v>1</v>
      </c>
      <c r="F2">
        <v>1</v>
      </c>
      <c r="H2">
        <v>1</v>
      </c>
      <c r="I2">
        <v>1</v>
      </c>
    </row>
    <row r="3" spans="1:9" x14ac:dyDescent="0.25">
      <c r="A3">
        <v>1</v>
      </c>
      <c r="B3">
        <v>1</v>
      </c>
      <c r="E3">
        <v>1</v>
      </c>
      <c r="F3">
        <v>1</v>
      </c>
      <c r="H3">
        <v>1</v>
      </c>
      <c r="I3">
        <v>1</v>
      </c>
    </row>
    <row r="4" spans="1:9" x14ac:dyDescent="0.25">
      <c r="A4">
        <v>1</v>
      </c>
      <c r="B4">
        <v>1</v>
      </c>
      <c r="H4">
        <v>1</v>
      </c>
      <c r="I4">
        <v>1</v>
      </c>
    </row>
  </sheetData>
  <pageMargins left="0.7" right="0.7" top="0.75" bottom="0.75" header="0.3" footer="0.3"/>
  <tableParts count="1">
    <tablePart r:id="rId1"/>
  </tablePart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9D62A-5354-4755-AA51-EC1AEC81E321}">
  <dimension ref="A1:F3"/>
  <sheetViews>
    <sheetView workbookViewId="0">
      <selection activeCell="E1" sqref="E1:F3"/>
    </sheetView>
  </sheetViews>
  <sheetFormatPr defaultRowHeight="15" x14ac:dyDescent="0.25"/>
  <sheetData>
    <row r="1" spans="1:6" x14ac:dyDescent="0.25">
      <c r="A1">
        <v>1</v>
      </c>
      <c r="B1">
        <v>1</v>
      </c>
      <c r="E1">
        <v>1</v>
      </c>
      <c r="F1">
        <v>1</v>
      </c>
    </row>
    <row r="2" spans="1:6" x14ac:dyDescent="0.25">
      <c r="A2">
        <v>1</v>
      </c>
      <c r="B2">
        <v>1</v>
      </c>
      <c r="E2">
        <v>1</v>
      </c>
      <c r="F2">
        <v>1</v>
      </c>
    </row>
    <row r="3" spans="1:6" x14ac:dyDescent="0.25">
      <c r="A3">
        <v>1</v>
      </c>
      <c r="B3">
        <v>1</v>
      </c>
      <c r="E3">
        <v>1</v>
      </c>
      <c r="F3">
        <v>1</v>
      </c>
    </row>
  </sheetData>
  <pageMargins left="0.7" right="0.7" top="0.75" bottom="0.75" header="0.3" footer="0.3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D1619-D6C5-4027-9205-C4E245822A4E}">
  <dimension ref="A1:E3"/>
  <sheetViews>
    <sheetView workbookViewId="0">
      <selection activeCell="E1" sqref="E1:F3"/>
    </sheetView>
  </sheetViews>
  <sheetFormatPr defaultRowHeight="15" x14ac:dyDescent="0.25"/>
  <sheetData>
    <row r="1" spans="1:5" x14ac:dyDescent="0.25">
      <c r="A1" s="14">
        <v>1</v>
      </c>
      <c r="B1">
        <v>1</v>
      </c>
      <c r="E1" s="14"/>
    </row>
    <row r="2" spans="1:5" x14ac:dyDescent="0.25">
      <c r="A2">
        <v>1</v>
      </c>
      <c r="B2">
        <v>1</v>
      </c>
    </row>
    <row r="3" spans="1:5" x14ac:dyDescent="0.25">
      <c r="A3">
        <v>1</v>
      </c>
      <c r="B3">
        <v>1</v>
      </c>
    </row>
  </sheetData>
  <pageMargins left="0.7" right="0.7" top="0.75" bottom="0.75" header="0.3" footer="0.3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33606-E4B6-4DFD-8B98-7C777F278B0A}">
  <dimension ref="A1:F1"/>
  <sheetViews>
    <sheetView workbookViewId="0">
      <selection activeCell="E1" sqref="E1:F1"/>
    </sheetView>
  </sheetViews>
  <sheetFormatPr defaultRowHeight="15" x14ac:dyDescent="0.25"/>
  <sheetData>
    <row r="1" spans="1:6" x14ac:dyDescent="0.25">
      <c r="A1" s="14">
        <v>1</v>
      </c>
      <c r="E1" s="14" t="s">
        <v>5</v>
      </c>
      <c r="F1" s="14"/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17F3B-49A9-4827-8EA0-20D842FB2687}">
  <dimension ref="A1:F1"/>
  <sheetViews>
    <sheetView workbookViewId="0">
      <selection activeCell="E1" sqref="E1:F1"/>
    </sheetView>
  </sheetViews>
  <sheetFormatPr defaultRowHeight="15" x14ac:dyDescent="0.25"/>
  <sheetData>
    <row r="1" spans="1:6" x14ac:dyDescent="0.25">
      <c r="A1">
        <v>1</v>
      </c>
      <c r="E1" s="7" t="s">
        <v>5</v>
      </c>
      <c r="F1" s="7"/>
    </row>
  </sheetData>
  <mergeCells count="1">
    <mergeCell ref="E1:F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91</vt:i4>
      </vt:variant>
      <vt:variant>
        <vt:lpstr>Named Ranges</vt:lpstr>
      </vt:variant>
      <vt:variant>
        <vt:i4>1</vt:i4>
      </vt:variant>
    </vt:vector>
  </HeadingPairs>
  <TitlesOfParts>
    <vt:vector size="92" baseType="lpstr">
      <vt:lpstr>Other</vt:lpstr>
      <vt:lpstr>Jan</vt:lpstr>
      <vt:lpstr>Mar</vt:lpstr>
      <vt:lpstr>All</vt:lpstr>
      <vt:lpstr>Formulas</vt:lpstr>
      <vt:lpstr>Values</vt:lpstr>
      <vt:lpstr>Formats</vt:lpstr>
      <vt:lpstr>Comments</vt:lpstr>
      <vt:lpstr>Validation</vt:lpstr>
      <vt:lpstr>NoBorders</vt:lpstr>
      <vt:lpstr>Widths</vt:lpstr>
      <vt:lpstr>FormulasNumbers</vt:lpstr>
      <vt:lpstr>ValuesNumbers</vt:lpstr>
      <vt:lpstr>MergingCF</vt:lpstr>
      <vt:lpstr>SkipBlanks</vt:lpstr>
      <vt:lpstr>Transpose</vt:lpstr>
      <vt:lpstr>Add</vt:lpstr>
      <vt:lpstr>Subtract</vt:lpstr>
      <vt:lpstr>Multiply</vt:lpstr>
      <vt:lpstr>Divide</vt:lpstr>
      <vt:lpstr>AllAdd</vt:lpstr>
      <vt:lpstr>BlankKinds</vt:lpstr>
      <vt:lpstr>FormatsPlain</vt:lpstr>
      <vt:lpstr>ValuesMerged</vt:lpstr>
      <vt:lpstr>ValuesMergeRefused</vt:lpstr>
      <vt:lpstr>NumbersMerged</vt:lpstr>
      <vt:lpstr>FormulasMerged</vt:lpstr>
      <vt:lpstr>ValuesArrays</vt:lpstr>
      <vt:lpstr>FormulasArrays</vt:lpstr>
      <vt:lpstr>ArrayWhole</vt:lpstr>
      <vt:lpstr>ArrayPart</vt:lpstr>
      <vt:lpstr>FormatsArrayPart</vt:lpstr>
      <vt:lpstr>NumberFormats</vt:lpstr>
      <vt:lpstr>BesideCF</vt:lpstr>
      <vt:lpstr>SkipLayers</vt:lpstr>
      <vt:lpstr>SkipLinks</vt:lpstr>
      <vt:lpstr>SkipMerged</vt:lpstr>
      <vt:lpstr>SkipFormats</vt:lpstr>
      <vt:lpstr>SkipRules</vt:lpstr>
      <vt:lpstr>SkipNotes</vt:lpstr>
      <vt:lpstr>SkipValues</vt:lpstr>
      <vt:lpstr>TransposeIn</vt:lpstr>
      <vt:lpstr>TransposeMore</vt:lpstr>
      <vt:lpstr>TransposeOff</vt:lpstr>
      <vt:lpstr>TransposeMeet</vt:lpstr>
      <vt:lpstr>TransposeAway</vt:lpstr>
      <vt:lpstr>TransposeRules</vt:lpstr>
      <vt:lpstr>TransposeArray</vt:lpstr>
      <vt:lpstr>TransposeSpill</vt:lpstr>
      <vt:lpstr>TransposeTiles</vt:lpstr>
      <vt:lpstr>TransposeOverlap</vt:lpstr>
      <vt:lpstr>TransposeSquare</vt:lpstr>
      <vt:lpstr>OpThere</vt:lpstr>
      <vt:lpstr>OpThereAll</vt:lpstr>
      <vt:lpstr>OpComing</vt:lpstr>
      <vt:lpstr>OpComingAll</vt:lpstr>
      <vt:lpstr>OpFloats</vt:lpstr>
      <vt:lpstr>OpFormulas</vt:lpstr>
      <vt:lpstr>OpFormulasSubtract</vt:lpstr>
      <vt:lpstr>OpNumbers</vt:lpstr>
      <vt:lpstr>OpNumbersComing</vt:lpstr>
      <vt:lpstr>OpText</vt:lpstr>
      <vt:lpstr>OpBlanks</vt:lpstr>
      <vt:lpstr>OpArrays</vt:lpstr>
      <vt:lpstr>OpOntoArray</vt:lpstr>
      <vt:lpstr>OpOverflow</vt:lpstr>
      <vt:lpstr>OpTransposed</vt:lpstr>
      <vt:lpstr>RowsFormats</vt:lpstr>
      <vt:lpstr>RowsValues</vt:lpstr>
      <vt:lpstr>RowsNoBorders</vt:lpstr>
      <vt:lpstr>ColumnsValues</vt:lpstr>
      <vt:lpstr>ColumnsFormats</vt:lpstr>
      <vt:lpstr>ColumnsWidths</vt:lpstr>
      <vt:lpstr>ColumnFormatCells</vt:lpstr>
      <vt:lpstr>RowFormatCells</vt:lpstr>
      <vt:lpstr>BlankStyles</vt:lpstr>
      <vt:lpstr>ColumnsStyled</vt:lpstr>
      <vt:lpstr>WidthsHidden</vt:lpstr>
      <vt:lpstr>LinksStay</vt:lpstr>
      <vt:lpstr>PasteLink</vt:lpstr>
      <vt:lpstr>LinkOver</vt:lpstr>
      <vt:lpstr>LinkTiles</vt:lpstr>
      <vt:lpstr>LinkFiltered</vt:lpstr>
      <vt:lpstr>LinkMerged</vt:lpstr>
      <vt:lpstr>FilterValues</vt:lpstr>
      <vt:lpstr>TileValues</vt:lpstr>
      <vt:lpstr>TableValues</vt:lpstr>
      <vt:lpstr>ShapeValues</vt:lpstr>
      <vt:lpstr>ShapeFormats</vt:lpstr>
      <vt:lpstr>FormatsMergeAnchor</vt:lpstr>
      <vt:lpstr>CommentsMerged</vt:lpstr>
      <vt:lpstr>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2026-09-26T21:05:06Z</dcterms:created>
  <dcterms:modified xsi:type="dcterms:W3CDTF">2026-09-26T21:05:10Z</dcterms:modified>
</cp:coreProperties>
</file>
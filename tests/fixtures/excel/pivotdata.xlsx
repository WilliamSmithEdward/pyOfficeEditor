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9AB50BF0-ACC8-4484-BDF5-43391E70B36E}" xr6:coauthVersionLast="47" xr6:coauthVersionMax="47" xr10:uidLastSave="{00000000-0000-0000-0000-000000000000}"/>
  <bookViews>
    <workbookView xWindow="-120" yWindow="-120" windowWidth="10800" windowHeight="19485" activeTab="4" xr2:uid="{7256DBFF-7DF9-4FB8-9D32-C554C80A1F1F}"/>
  </bookViews>
  <sheets>
    <sheet name="Data" sheetId="1" r:id="rId1"/>
    <sheet name="PT1" sheetId="2" r:id="rId2"/>
    <sheet name="PT2" sheetId="3" r:id="rId3"/>
    <sheet name="PT3" sheetId="4" r:id="rId4"/>
    <sheet name="Q" sheetId="5" r:id="rId5"/>
  </sheets>
  <calcPr calcId="191029"/>
  <pivotCaches>
    <pivotCache cacheId="24" r:id="rId6"/>
    <pivotCache cacheId="29" r:id="rId7"/>
    <pivotCache cacheId="34" r:id="rId8"/>
    <pivotCache cacheId="40" r:id="rId9"/>
    <pivotCache cacheId="4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7" i="5" l="1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" i="5"/>
</calcChain>
</file>

<file path=xl/sharedStrings.xml><?xml version="1.0" encoding="utf-8"?>
<sst xmlns="http://schemas.openxmlformats.org/spreadsheetml/2006/main" count="352" uniqueCount="70">
  <si>
    <t>Region</t>
  </si>
  <si>
    <t>Product</t>
  </si>
  <si>
    <t>Year</t>
  </si>
  <si>
    <t>Qty</t>
  </si>
  <si>
    <t>Sales</t>
  </si>
  <si>
    <t>Day</t>
  </si>
  <si>
    <t>East</t>
  </si>
  <si>
    <t>Pen</t>
  </si>
  <si>
    <t>Ink</t>
  </si>
  <si>
    <t>West</t>
  </si>
  <si>
    <t>Book</t>
  </si>
  <si>
    <t>North</t>
  </si>
  <si>
    <t>South</t>
  </si>
  <si>
    <t>Team</t>
  </si>
  <si>
    <t>Person</t>
  </si>
  <si>
    <t>Score</t>
  </si>
  <si>
    <t>Red</t>
  </si>
  <si>
    <t>Ann</t>
  </si>
  <si>
    <t>Bob</t>
  </si>
  <si>
    <t>Blue</t>
  </si>
  <si>
    <t>Cat</t>
  </si>
  <si>
    <t>Row Labels</t>
  </si>
  <si>
    <t>Grand Total</t>
  </si>
  <si>
    <t>Sum of Sales</t>
  </si>
  <si>
    <t>Column Labels</t>
  </si>
  <si>
    <t>Total Sum of Sales</t>
  </si>
  <si>
    <t>Total Sum of Qty</t>
  </si>
  <si>
    <t>Sum of Qty</t>
  </si>
  <si>
    <t>East Total</t>
  </si>
  <si>
    <t>North Total</t>
  </si>
  <si>
    <t>South Total</t>
  </si>
  <si>
    <t>West Total</t>
  </si>
  <si>
    <t>(All)</t>
  </si>
  <si>
    <t>Count of Product</t>
  </si>
  <si>
    <t>Total Count of Product</t>
  </si>
  <si>
    <t>Revenue</t>
  </si>
  <si>
    <t>Orient</t>
  </si>
  <si>
    <t>Average of Sales</t>
  </si>
  <si>
    <t>East Sum of Sales</t>
  </si>
  <si>
    <t>East Sum of Qty</t>
  </si>
  <si>
    <t>North Sum of Sales</t>
  </si>
  <si>
    <t>North Sum of Qty</t>
  </si>
  <si>
    <t>South Sum of Sales</t>
  </si>
  <si>
    <t>South Sum of Qty</t>
  </si>
  <si>
    <t>West Sum of Sales</t>
  </si>
  <si>
    <t>West Sum of Qty</t>
  </si>
  <si>
    <t>Values</t>
  </si>
  <si>
    <t>2023</t>
  </si>
  <si>
    <t>Jan</t>
  </si>
  <si>
    <t>Feb</t>
  </si>
  <si>
    <t>Apr</t>
  </si>
  <si>
    <t>Jul</t>
  </si>
  <si>
    <t>Sep</t>
  </si>
  <si>
    <t>Nov</t>
  </si>
  <si>
    <t>2024</t>
  </si>
  <si>
    <t>Mar</t>
  </si>
  <si>
    <t>May</t>
  </si>
  <si>
    <t>Jun</t>
  </si>
  <si>
    <t>Aug</t>
  </si>
  <si>
    <t>Oct</t>
  </si>
  <si>
    <t>Dec</t>
  </si>
  <si>
    <t>0-99</t>
  </si>
  <si>
    <t>100-199</t>
  </si>
  <si>
    <t>200-299</t>
  </si>
  <si>
    <t>300-399</t>
  </si>
  <si>
    <t>Sum of Profit</t>
  </si>
  <si>
    <t>Share</t>
  </si>
  <si>
    <t>Sum of Score</t>
  </si>
  <si>
    <t>Blue Total</t>
  </si>
  <si>
    <t>Red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</si>
</sst>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835423263889" createdVersion="8" refreshedVersion="8" minRefreshableVersion="3" recordCount="12" xr:uid="{532BE28D-FF65-4834-89D0-1DA4865A108E}">
  <cacheSource type="worksheet">
    <worksheetSource ref="A1:F13" sheet="Data"/>
  </cacheSource>
  <cacheFields count="6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Pen"/>
        <s v="Ink"/>
        <s v="Book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Q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24" maxValue="330"/>
    </cacheField>
    <cacheField name="Day" numFmtId="14">
      <sharedItems containsSemiMixedTypes="0" containsNonDate="0" containsDate="1" containsString="0" minDate="2023-01-15T00:00:00" maxDate="2024-12-14T00:00:00" count="12">
        <d v="2023-01-15T00:00:00"/>
        <d v="2023-02-20T00:00:00"/>
        <d v="2024-03-10T00:00:00"/>
        <d v="2023-04-05T00:00:00"/>
        <d v="2024-05-06T00:00:00"/>
        <d v="2024-06-07T00:00:00"/>
        <d v="2023-07-08T00:00:00"/>
        <d v="2024-08-09T00:00:00"/>
        <d v="2023-09-10T00:00:00"/>
        <d v="2024-10-11T00:00:00"/>
        <d v="2023-11-12T00:00:00"/>
        <d v="2024-12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83542372685" createdVersion="8" refreshedVersion="8" minRefreshableVersion="3" recordCount="12" xr:uid="{58C05B78-2695-44F5-ACD2-BCB5AF2EE8B2}">
  <cacheSource type="worksheet">
    <worksheetSource ref="A1:F13" sheet="Data"/>
  </cacheSource>
  <cacheFields count="8">
    <cacheField name="Region" numFmtId="0">
      <sharedItems/>
    </cacheField>
    <cacheField name="Product" numFmtId="0">
      <sharedItems/>
    </cacheField>
    <cacheField name="Year" numFmtId="0">
      <sharedItems containsSemiMixedTypes="0" containsString="0" containsNumber="1" containsInteger="1" minValue="2023" maxValue="2024"/>
    </cacheField>
    <cacheField name="Q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24" maxValue="330"/>
    </cacheField>
    <cacheField name="Day" numFmtId="14">
      <sharedItems containsSemiMixedTypes="0" containsNonDate="0" containsDate="1" containsString="0" minDate="2023-01-15T00:00:00" maxDate="2024-12-14T00:00:00" count="12">
        <d v="2023-01-15T00:00:00"/>
        <d v="2023-02-20T00:00:00"/>
        <d v="2024-03-10T00:00:00"/>
        <d v="2023-04-05T00:00:00"/>
        <d v="2024-05-06T00:00:00"/>
        <d v="2024-06-07T00:00:00"/>
        <d v="2023-07-08T00:00:00"/>
        <d v="2024-08-09T00:00:00"/>
        <d v="2023-09-10T00:00:00"/>
        <d v="2024-10-11T00:00:00"/>
        <d v="2023-11-12T00:00:00"/>
        <d v="2024-12-13T00:00:00"/>
      </sharedItems>
      <fieldGroup par="7"/>
    </cacheField>
    <cacheField name="Months (Day)" numFmtId="0" databaseField="0">
      <fieldGroup base="5">
        <rangePr groupBy="months" startDate="2023-01-15T00:00:00" endDate="2024-12-14T00:00:00"/>
        <groupItems count="14">
          <s v="&lt;1/1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4/2024"/>
        </groupItems>
      </fieldGroup>
    </cacheField>
    <cacheField name="Years (Day)" numFmtId="0" databaseField="0">
      <fieldGroup base="5">
        <rangePr groupBy="years" startDate="2023-01-15T00:00:00" endDate="2024-12-14T00:00:00"/>
        <groupItems count="4">
          <s v="&lt;1/15/2023"/>
          <s v="2023"/>
          <s v="2024"/>
          <s v="&gt;12/1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835423842589" createdVersion="8" refreshedVersion="8" minRefreshableVersion="3" recordCount="12" xr:uid="{6DB89C41-0150-49C8-B4D3-63A2083E0082}">
  <cacheSource type="worksheet">
    <worksheetSource ref="A1:F13" sheet="Data"/>
  </cacheSource>
  <cacheFields count="6">
    <cacheField name="Region" numFmtId="0">
      <sharedItems/>
    </cacheField>
    <cacheField name="Product" numFmtId="0">
      <sharedItems/>
    </cacheField>
    <cacheField name="Year" numFmtId="0">
      <sharedItems containsSemiMixedTypes="0" containsString="0" containsNumber="1" containsInteger="1" minValue="2023" maxValue="2024"/>
    </cacheField>
    <cacheField name="Q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24" maxValue="330" count="12">
        <n v="30"/>
        <n v="50"/>
        <n v="24"/>
        <n v="44"/>
        <n v="120"/>
        <n v="66"/>
        <n v="200"/>
        <n v="88"/>
        <n v="77"/>
        <n v="330"/>
        <n v="99"/>
        <n v="220"/>
      </sharedItems>
      <fieldGroup base="4">
        <rangePr autoStart="0" autoEnd="0" startNum="0" endNum="399" groupInterval="100"/>
        <groupItems count="6">
          <s v="&lt;0"/>
          <s v="0-99"/>
          <s v="100-199"/>
          <s v="200-299"/>
          <s v="300-399"/>
          <s v="&gt;400"/>
        </groupItems>
      </fieldGroup>
    </cacheField>
    <cacheField name="Day" numFmtId="14">
      <sharedItems containsSemiMixedTypes="0" containsNonDate="0" containsDate="1" containsString="0" minDate="2023-01-15T00:00:00" maxDate="2024-12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835423842589" createdVersion="8" refreshedVersion="8" minRefreshableVersion="3" recordCount="12" xr:uid="{D5EC8039-3C79-41C8-9D53-22DD38A82001}">
  <cacheSource type="worksheet">
    <worksheetSource ref="A1:F13" sheet="Data"/>
  </cacheSource>
  <cacheFields count="7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3" maxValue="2024"/>
    </cacheField>
    <cacheField name="Q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24" maxValue="330"/>
    </cacheField>
    <cacheField name="Day" numFmtId="14">
      <sharedItems containsSemiMixedTypes="0" containsNonDate="0" containsDate="1" containsString="0" minDate="2023-01-15T00:00:00" maxDate="2024-12-14T00:00:00"/>
    </cacheField>
    <cacheField name="Profit" numFmtId="0" formula="Sales*0.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0.835423842589" createdVersion="8" refreshedVersion="8" minRefreshableVersion="3" recordCount="4" xr:uid="{8F236E40-5911-4189-A462-A337F2EF64F9}">
  <cacheSource type="worksheet">
    <worksheetSource ref="H1:J5" sheet="Data"/>
  </cacheSource>
  <cacheFields count="3">
    <cacheField name="Team" numFmtId="0">
      <sharedItems count="2">
        <s v="Red"/>
        <s v="Blue"/>
      </sharedItems>
    </cacheField>
    <cacheField name="Person" numFmtId="0">
      <sharedItems count="3">
        <s v="Ann"/>
        <s v="Bob"/>
        <s v="Cat"/>
      </sharedItems>
    </cacheField>
    <cacheField name="Score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3"/>
    <n v="30"/>
    <x v="0"/>
  </r>
  <r>
    <x v="0"/>
    <x v="1"/>
    <x v="0"/>
    <n v="5"/>
    <n v="50"/>
    <x v="1"/>
  </r>
  <r>
    <x v="0"/>
    <x v="0"/>
    <x v="1"/>
    <n v="2"/>
    <n v="24"/>
    <x v="2"/>
  </r>
  <r>
    <x v="1"/>
    <x v="0"/>
    <x v="0"/>
    <n v="4"/>
    <n v="44"/>
    <x v="3"/>
  </r>
  <r>
    <x v="1"/>
    <x v="2"/>
    <x v="1"/>
    <n v="1"/>
    <n v="120"/>
    <x v="4"/>
  </r>
  <r>
    <x v="1"/>
    <x v="1"/>
    <x v="1"/>
    <n v="6"/>
    <n v="66"/>
    <x v="5"/>
  </r>
  <r>
    <x v="2"/>
    <x v="2"/>
    <x v="0"/>
    <n v="2"/>
    <n v="200"/>
    <x v="6"/>
  </r>
  <r>
    <x v="2"/>
    <x v="0"/>
    <x v="1"/>
    <n v="8"/>
    <n v="88"/>
    <x v="7"/>
  </r>
  <r>
    <x v="2"/>
    <x v="1"/>
    <x v="0"/>
    <n v="7"/>
    <n v="77"/>
    <x v="8"/>
  </r>
  <r>
    <x v="3"/>
    <x v="2"/>
    <x v="1"/>
    <n v="3"/>
    <n v="330"/>
    <x v="9"/>
  </r>
  <r>
    <x v="3"/>
    <x v="0"/>
    <x v="0"/>
    <n v="9"/>
    <n v="99"/>
    <x v="10"/>
  </r>
  <r>
    <x v="0"/>
    <x v="2"/>
    <x v="1"/>
    <n v="2"/>
    <n v="220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East"/>
    <s v="Pen"/>
    <n v="2023"/>
    <n v="3"/>
    <n v="30"/>
    <x v="0"/>
  </r>
  <r>
    <s v="East"/>
    <s v="Ink"/>
    <n v="2023"/>
    <n v="5"/>
    <n v="50"/>
    <x v="1"/>
  </r>
  <r>
    <s v="East"/>
    <s v="Pen"/>
    <n v="2024"/>
    <n v="2"/>
    <n v="24"/>
    <x v="2"/>
  </r>
  <r>
    <s v="West"/>
    <s v="Pen"/>
    <n v="2023"/>
    <n v="4"/>
    <n v="44"/>
    <x v="3"/>
  </r>
  <r>
    <s v="West"/>
    <s v="Book"/>
    <n v="2024"/>
    <n v="1"/>
    <n v="120"/>
    <x v="4"/>
  </r>
  <r>
    <s v="West"/>
    <s v="Ink"/>
    <n v="2024"/>
    <n v="6"/>
    <n v="66"/>
    <x v="5"/>
  </r>
  <r>
    <s v="North"/>
    <s v="Book"/>
    <n v="2023"/>
    <n v="2"/>
    <n v="200"/>
    <x v="6"/>
  </r>
  <r>
    <s v="North"/>
    <s v="Pen"/>
    <n v="2024"/>
    <n v="8"/>
    <n v="88"/>
    <x v="7"/>
  </r>
  <r>
    <s v="North"/>
    <s v="Ink"/>
    <n v="2023"/>
    <n v="7"/>
    <n v="77"/>
    <x v="8"/>
  </r>
  <r>
    <s v="South"/>
    <s v="Book"/>
    <n v="2024"/>
    <n v="3"/>
    <n v="330"/>
    <x v="9"/>
  </r>
  <r>
    <s v="South"/>
    <s v="Pen"/>
    <n v="2023"/>
    <n v="9"/>
    <n v="99"/>
    <x v="10"/>
  </r>
  <r>
    <s v="East"/>
    <s v="Book"/>
    <n v="2024"/>
    <n v="2"/>
    <n v="220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East"/>
    <s v="Pen"/>
    <n v="2023"/>
    <n v="3"/>
    <x v="0"/>
    <d v="2023-01-15T00:00:00"/>
  </r>
  <r>
    <s v="East"/>
    <s v="Ink"/>
    <n v="2023"/>
    <n v="5"/>
    <x v="1"/>
    <d v="2023-02-20T00:00:00"/>
  </r>
  <r>
    <s v="East"/>
    <s v="Pen"/>
    <n v="2024"/>
    <n v="2"/>
    <x v="2"/>
    <d v="2024-03-10T00:00:00"/>
  </r>
  <r>
    <s v="West"/>
    <s v="Pen"/>
    <n v="2023"/>
    <n v="4"/>
    <x v="3"/>
    <d v="2023-04-05T00:00:00"/>
  </r>
  <r>
    <s v="West"/>
    <s v="Book"/>
    <n v="2024"/>
    <n v="1"/>
    <x v="4"/>
    <d v="2024-05-06T00:00:00"/>
  </r>
  <r>
    <s v="West"/>
    <s v="Ink"/>
    <n v="2024"/>
    <n v="6"/>
    <x v="5"/>
    <d v="2024-06-07T00:00:00"/>
  </r>
  <r>
    <s v="North"/>
    <s v="Book"/>
    <n v="2023"/>
    <n v="2"/>
    <x v="6"/>
    <d v="2023-07-08T00:00:00"/>
  </r>
  <r>
    <s v="North"/>
    <s v="Pen"/>
    <n v="2024"/>
    <n v="8"/>
    <x v="7"/>
    <d v="2024-08-09T00:00:00"/>
  </r>
  <r>
    <s v="North"/>
    <s v="Ink"/>
    <n v="2023"/>
    <n v="7"/>
    <x v="8"/>
    <d v="2023-09-10T00:00:00"/>
  </r>
  <r>
    <s v="South"/>
    <s v="Book"/>
    <n v="2024"/>
    <n v="3"/>
    <x v="9"/>
    <d v="2024-10-11T00:00:00"/>
  </r>
  <r>
    <s v="South"/>
    <s v="Pen"/>
    <n v="2023"/>
    <n v="9"/>
    <x v="10"/>
    <d v="2023-11-12T00:00:00"/>
  </r>
  <r>
    <s v="East"/>
    <s v="Book"/>
    <n v="2024"/>
    <n v="2"/>
    <x v="11"/>
    <d v="2024-12-13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Pen"/>
    <n v="2023"/>
    <n v="3"/>
    <n v="30"/>
    <d v="2023-01-15T00:00:00"/>
  </r>
  <r>
    <x v="0"/>
    <s v="Ink"/>
    <n v="2023"/>
    <n v="5"/>
    <n v="50"/>
    <d v="2023-02-20T00:00:00"/>
  </r>
  <r>
    <x v="0"/>
    <s v="Pen"/>
    <n v="2024"/>
    <n v="2"/>
    <n v="24"/>
    <d v="2024-03-10T00:00:00"/>
  </r>
  <r>
    <x v="1"/>
    <s v="Pen"/>
    <n v="2023"/>
    <n v="4"/>
    <n v="44"/>
    <d v="2023-04-05T00:00:00"/>
  </r>
  <r>
    <x v="1"/>
    <s v="Book"/>
    <n v="2024"/>
    <n v="1"/>
    <n v="120"/>
    <d v="2024-05-06T00:00:00"/>
  </r>
  <r>
    <x v="1"/>
    <s v="Ink"/>
    <n v="2024"/>
    <n v="6"/>
    <n v="66"/>
    <d v="2024-06-07T00:00:00"/>
  </r>
  <r>
    <x v="2"/>
    <s v="Book"/>
    <n v="2023"/>
    <n v="2"/>
    <n v="200"/>
    <d v="2023-07-08T00:00:00"/>
  </r>
  <r>
    <x v="2"/>
    <s v="Pen"/>
    <n v="2024"/>
    <n v="8"/>
    <n v="88"/>
    <d v="2024-08-09T00:00:00"/>
  </r>
  <r>
    <x v="2"/>
    <s v="Ink"/>
    <n v="2023"/>
    <n v="7"/>
    <n v="77"/>
    <d v="2023-09-10T00:00:00"/>
  </r>
  <r>
    <x v="3"/>
    <s v="Book"/>
    <n v="2024"/>
    <n v="3"/>
    <n v="330"/>
    <d v="2024-10-11T00:00:00"/>
  </r>
  <r>
    <x v="3"/>
    <s v="Pen"/>
    <n v="2023"/>
    <n v="9"/>
    <n v="99"/>
    <d v="2023-11-12T00:00:00"/>
  </r>
  <r>
    <x v="0"/>
    <s v="Book"/>
    <n v="2024"/>
    <n v="2"/>
    <n v="220"/>
    <d v="2024-12-13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"/>
  </r>
  <r>
    <x v="0"/>
    <x v="1"/>
    <n v="2"/>
  </r>
  <r>
    <x v="1"/>
    <x v="2"/>
    <n v="4"/>
  </r>
  <r>
    <x v="1"/>
    <x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7D8EA-B0B3-44CE-A989-2BC9504AD06B}" name="Number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5:B108" firstHeaderRow="1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numFmtId="1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6CBB9-80EF-49B0-99AA-6D4C8B06852F}" name="Renamed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0:K85" firstHeaderRow="1" firstDataRow="1" firstDataCol="1"/>
  <pivotFields count="6">
    <pivotField axis="axisRow" showAll="0">
      <items count="5">
        <item n="Orient"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6ADCF-5BEB-4715-B5D6-896C10C33C58}" name="ValuesDown" cacheId="2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B94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dataField="1" showAll="0"/>
    <pivotField numFmtId="14"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Sales" fld="4" baseField="0" baseItem="0"/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07C3-7CF7-47D0-BAD5-BEBDC83F5D39}" name="NoTotals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62:L67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4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2"/>
  </colFields>
  <colItems count="2">
    <i>
      <x/>
    </i>
    <i>
      <x v="1"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0BD3-5DD3-41F3-AFF9-D10F05A48447}" name="Filtered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6" firstHeaderRow="1" firstDataRow="1" firstDataCol="1" rowPageCount="1" colPageCount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0" hier="-1"/>
  </page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68499-5BDC-4059-972F-26289A79CCA1}" name="Tabular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0:L46" firstHeaderRow="1" firstDataRow="1" firstDataCol="2"/>
  <pivotFields count="6">
    <pivotField axis="axisRow" compact="0" outline="0" subtotalTop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2">
    <field x="0"/>
    <field x="1"/>
  </rowFields>
  <rowItems count="16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70B18-CBCD-437F-8BB4-5BD066073C09}" name="Two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G37" firstHeaderRow="1" firstDataRow="3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Sales" fld="4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9A209-E597-458E-ADF6-25BE10ADCE66}" name="Cros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9" firstHeaderRow="1" firstDataRow="2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BBD26-2BA5-492F-8B87-0167A46C422A}" name="Nested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9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numFmtId="14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F9421-AC3C-45EC-BD29-61ACB16AAC00}" name="Basic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2686F-1385-4C85-9A00-DB91C64E7D0B}" name="ValuesBottom" cacheId="2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0:D142" firstHeaderRow="1" firstDataRow="1" firstDataCol="3"/>
  <pivotFields count="6">
    <pivotField axis="axisRow" compact="0" outline="0" subtotalTop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4" outline="0" showAll="0"/>
  </pivotFields>
  <rowFields count="3">
    <field x="0"/>
    <field x="1"/>
    <field x="-2"/>
  </rowFields>
  <rowItems count="3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2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Sum of Sales" fld="4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E18A8-F460-47FB-89BB-20251759985F}" name="Hidden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5:K99" firstHeaderRow="1" firstDataRow="1" firstDataCol="1"/>
  <pivotFields count="6">
    <pivotField axis="axisRow"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3DAAD-466F-4592-BE0D-1BC04466AEEE}" name="Caption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5:B100" firstHeaderRow="1" firstDataRow="1" firstDataCol="1"/>
  <pivotFields count="6">
    <pivotField name="Area"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C357F-C963-43F3-BA73-21E72025EF7D}" name="SameSource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0:L65" firstHeaderRow="0" firstDataRow="1" firstDataCol="1"/>
  <pivotFields count="6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Average of Sale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EFF82-6DFF-4AA4-94E6-08D83682AB1C}" name="Date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73" firstHeaderRow="1" firstDataRow="1" firstDataCol="1"/>
  <pivotFields count="6">
    <pivotField showAll="0"/>
    <pivotField showAll="0"/>
    <pivotField showAll="0"/>
    <pivotField dataField="1" showAll="0"/>
    <pivotField showAll="0"/>
    <pivotField axis="axisRow" numFmtId="14" showAll="0">
      <items count="13">
        <item x="0"/>
        <item x="1"/>
        <item x="3"/>
        <item x="6"/>
        <item x="8"/>
        <item x="10"/>
        <item x="2"/>
        <item x="4"/>
        <item x="5"/>
        <item x="7"/>
        <item x="9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7FEA3-97D6-4C4F-93A7-8FC5B0C75720}" name="AllPage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2:K36" firstHeaderRow="1" firstDataRow="1" firstDataCol="1" rowPageCount="1" colPageCount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8DD1E-9616-492C-A25E-32AAD3916247}" name="NoSubtotal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46" firstHeaderRow="1" firstDataRow="1" firstDataCol="1"/>
  <pivotFields count="6">
    <pivotField axis="axisRow" showAll="0" defaultSubtotal="0">
      <items count="4">
        <item x="0"/>
        <item x="2"/>
        <item x="3"/>
        <item x="1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numFmtId="14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83220-A303-4A74-A255-79E316D475D9}" name="OutlineBottom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J3:L23" firstHeaderRow="1" firstDataRow="1" firstDataCol="2"/>
  <pivotFields count="6">
    <pivotField axis="axisRow" compact="0" subtotalTop="0" showAll="0">
      <items count="5">
        <item x="0"/>
        <item x="2"/>
        <item x="3"/>
        <item x="1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dataField="1" compact="0" showAll="0"/>
    <pivotField compact="0" numFmtId="14"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B7F56-6631-4776-AE08-81F36B62071A}" name="Holes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6"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551E7-347D-4ECE-8831-146C5551E253}" name="TeamsBare" cacheId="4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75:B82" firstHeaderRow="1" firstDataRow="1" firstDataCol="1"/>
  <pivotFields count="3">
    <pivotField axis="axisRow" showAll="0" defaultSubtotal="0">
      <items count="2">
        <item x="1"/>
        <item x="0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2"/>
    </i>
    <i>
      <x v="1"/>
    </i>
    <i r="1">
      <x/>
    </i>
    <i r="1">
      <x v="1"/>
    </i>
    <i t="grand">
      <x/>
    </i>
  </rowItems>
  <colItems count="1">
    <i/>
  </colItems>
  <dataFields count="1">
    <dataField name="Sum of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CC634-B273-4AAC-92F6-6857E829F556}" name="TeamsAcross" cacheId="4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J60:Q63" firstHeaderRow="1" firstDataRow="3" firstDataCol="1"/>
  <pivotFields count="3">
    <pivotField axis="axisCol" showAll="0">
      <items count="3"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2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E15E2-1DC0-42E0-8999-4D1F0EE7255B}" name="Teams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7" firstHeaderRow="1" firstDataRow="1" firstDataCol="1"/>
  <pivotFields count="3">
    <pivotField axis="axisRow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2"/>
    </i>
    <i>
      <x v="1"/>
    </i>
    <i r="1">
      <x/>
    </i>
    <i r="1">
      <x v="1"/>
    </i>
    <i t="grand">
      <x/>
    </i>
  </rowItems>
  <colItems count="1">
    <i/>
  </colItems>
  <dataFields count="1">
    <dataField name="Sum of Sco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1D31D-149D-4685-82F3-F93BBF76E3CC}" name="Percent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0:K45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numFmtId="14"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hare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CF8BF-C670-4B69-AC24-ABE7622BC945}" name="Calculated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5" firstHeaderRow="1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4"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006F8-FE3C-4397-95EA-F53F2530FAB1}" name="Bins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8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8A9BE-0299-4143-9CDD-4368BB6A2D2A}" name="Groupe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showAll="0"/>
    <pivotField showAll="0"/>
    <pivotField showAll="0"/>
    <pivotField dataField="1" showAll="0"/>
    <pivotField showAll="0"/>
    <pivotField numFmtId="14" showAll="0">
      <items count="13">
        <item x="0"/>
        <item x="1"/>
        <item x="3"/>
        <item x="6"/>
        <item x="8"/>
        <item x="10"/>
        <item x="2"/>
        <item x="4"/>
        <item x="5"/>
        <item x="7"/>
        <item x="9"/>
        <item x="1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7"/>
    <field x="6"/>
  </rowFields>
  <rowItems count="15">
    <i>
      <x v="1"/>
    </i>
    <i r="1">
      <x v="1"/>
    </i>
    <i r="1">
      <x v="2"/>
    </i>
    <i r="1">
      <x v="4"/>
    </i>
    <i r="1">
      <x v="7"/>
    </i>
    <i r="1">
      <x v="9"/>
    </i>
    <i r="1">
      <x v="11"/>
    </i>
    <i>
      <x v="2"/>
    </i>
    <i r="1">
      <x v="3"/>
    </i>
    <i r="1">
      <x v="5"/>
    </i>
    <i r="1">
      <x v="6"/>
    </i>
    <i r="1">
      <x v="8"/>
    </i>
    <i r="1">
      <x v="10"/>
    </i>
    <i r="1">
      <x v="12"/>
    </i>
    <i t="grand">
      <x/>
    </i>
  </rowItems>
  <colItems count="1">
    <i/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6B33-28CD-44F8-9D0D-79F23E99CA2F}">
  <sheetPr codeName="Sheet1"/>
  <dimension ref="A1:J13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13</v>
      </c>
      <c r="I1" t="s">
        <v>14</v>
      </c>
      <c r="J1" t="s">
        <v>15</v>
      </c>
    </row>
    <row r="2" spans="1:10" x14ac:dyDescent="0.25">
      <c r="A2" t="s">
        <v>6</v>
      </c>
      <c r="B2" t="s">
        <v>7</v>
      </c>
      <c r="C2">
        <v>2023</v>
      </c>
      <c r="D2">
        <v>3</v>
      </c>
      <c r="E2">
        <v>30</v>
      </c>
      <c r="F2" s="1">
        <v>44941</v>
      </c>
      <c r="H2" t="s">
        <v>16</v>
      </c>
      <c r="I2" t="s">
        <v>17</v>
      </c>
      <c r="J2">
        <v>1</v>
      </c>
    </row>
    <row r="3" spans="1:10" x14ac:dyDescent="0.25">
      <c r="A3" t="s">
        <v>6</v>
      </c>
      <c r="B3" t="s">
        <v>8</v>
      </c>
      <c r="C3">
        <v>2023</v>
      </c>
      <c r="D3">
        <v>5</v>
      </c>
      <c r="E3">
        <v>50</v>
      </c>
      <c r="F3" s="1">
        <v>44977</v>
      </c>
      <c r="H3" t="s">
        <v>16</v>
      </c>
      <c r="I3" t="s">
        <v>18</v>
      </c>
      <c r="J3">
        <v>2</v>
      </c>
    </row>
    <row r="4" spans="1:10" x14ac:dyDescent="0.25">
      <c r="A4" t="s">
        <v>6</v>
      </c>
      <c r="B4" t="s">
        <v>7</v>
      </c>
      <c r="C4">
        <v>2024</v>
      </c>
      <c r="D4">
        <v>2</v>
      </c>
      <c r="E4">
        <v>24</v>
      </c>
      <c r="F4" s="1">
        <v>45361</v>
      </c>
      <c r="H4" t="s">
        <v>19</v>
      </c>
      <c r="I4" t="s">
        <v>20</v>
      </c>
      <c r="J4">
        <v>4</v>
      </c>
    </row>
    <row r="5" spans="1:10" x14ac:dyDescent="0.25">
      <c r="A5" t="s">
        <v>9</v>
      </c>
      <c r="B5" t="s">
        <v>7</v>
      </c>
      <c r="C5">
        <v>2023</v>
      </c>
      <c r="D5">
        <v>4</v>
      </c>
      <c r="E5">
        <v>44</v>
      </c>
      <c r="F5" s="1">
        <v>45021</v>
      </c>
      <c r="H5" t="s">
        <v>19</v>
      </c>
      <c r="I5" t="s">
        <v>17</v>
      </c>
      <c r="J5">
        <v>8</v>
      </c>
    </row>
    <row r="6" spans="1:10" x14ac:dyDescent="0.25">
      <c r="A6" t="s">
        <v>9</v>
      </c>
      <c r="B6" t="s">
        <v>10</v>
      </c>
      <c r="C6">
        <v>2024</v>
      </c>
      <c r="D6">
        <v>1</v>
      </c>
      <c r="E6">
        <v>120</v>
      </c>
      <c r="F6" s="1">
        <v>45418</v>
      </c>
    </row>
    <row r="7" spans="1:10" x14ac:dyDescent="0.25">
      <c r="A7" t="s">
        <v>9</v>
      </c>
      <c r="B7" t="s">
        <v>8</v>
      </c>
      <c r="C7">
        <v>2024</v>
      </c>
      <c r="D7">
        <v>6</v>
      </c>
      <c r="E7">
        <v>66</v>
      </c>
      <c r="F7" s="1">
        <v>45450</v>
      </c>
    </row>
    <row r="8" spans="1:10" x14ac:dyDescent="0.25">
      <c r="A8" t="s">
        <v>11</v>
      </c>
      <c r="B8" t="s">
        <v>10</v>
      </c>
      <c r="C8">
        <v>2023</v>
      </c>
      <c r="D8">
        <v>2</v>
      </c>
      <c r="E8">
        <v>200</v>
      </c>
      <c r="F8" s="1">
        <v>45115</v>
      </c>
    </row>
    <row r="9" spans="1:10" x14ac:dyDescent="0.25">
      <c r="A9" t="s">
        <v>11</v>
      </c>
      <c r="B9" t="s">
        <v>7</v>
      </c>
      <c r="C9">
        <v>2024</v>
      </c>
      <c r="D9">
        <v>8</v>
      </c>
      <c r="E9">
        <v>88</v>
      </c>
      <c r="F9" s="1">
        <v>45513</v>
      </c>
    </row>
    <row r="10" spans="1:10" x14ac:dyDescent="0.25">
      <c r="A10" t="s">
        <v>11</v>
      </c>
      <c r="B10" t="s">
        <v>8</v>
      </c>
      <c r="C10">
        <v>2023</v>
      </c>
      <c r="D10">
        <v>7</v>
      </c>
      <c r="E10">
        <v>77</v>
      </c>
      <c r="F10" s="1">
        <v>45179</v>
      </c>
    </row>
    <row r="11" spans="1:10" x14ac:dyDescent="0.25">
      <c r="A11" t="s">
        <v>12</v>
      </c>
      <c r="B11" t="s">
        <v>10</v>
      </c>
      <c r="C11">
        <v>2024</v>
      </c>
      <c r="D11">
        <v>3</v>
      </c>
      <c r="E11">
        <v>330</v>
      </c>
      <c r="F11" s="1">
        <v>45576</v>
      </c>
    </row>
    <row r="12" spans="1:10" x14ac:dyDescent="0.25">
      <c r="A12" t="s">
        <v>12</v>
      </c>
      <c r="B12" t="s">
        <v>7</v>
      </c>
      <c r="C12">
        <v>2023</v>
      </c>
      <c r="D12">
        <v>9</v>
      </c>
      <c r="E12">
        <v>99</v>
      </c>
      <c r="F12" s="1">
        <v>45242</v>
      </c>
    </row>
    <row r="13" spans="1:10" x14ac:dyDescent="0.25">
      <c r="A13" t="s">
        <v>6</v>
      </c>
      <c r="B13" t="s">
        <v>10</v>
      </c>
      <c r="C13">
        <v>2024</v>
      </c>
      <c r="D13">
        <v>2</v>
      </c>
      <c r="E13">
        <v>220</v>
      </c>
      <c r="F13" s="1">
        <v>45639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4294-1C5E-4FF1-B9EB-797224DABA7A}">
  <dimension ref="A3:M108"/>
  <sheetViews>
    <sheetView workbookViewId="0"/>
  </sheetViews>
  <sheetFormatPr defaultRowHeight="15" x14ac:dyDescent="0.25"/>
  <cols>
    <col min="1" max="1" width="13.42578125" bestFit="1" customWidth="1"/>
    <col min="2" max="2" width="10.85546875" bestFit="1" customWidth="1"/>
    <col min="3" max="3" width="16.42578125" bestFit="1" customWidth="1"/>
    <col min="4" max="4" width="12.5703125" bestFit="1" customWidth="1"/>
    <col min="5" max="5" width="10.85546875" bestFit="1" customWidth="1"/>
    <col min="6" max="6" width="17.7109375" bestFit="1" customWidth="1"/>
    <col min="7" max="7" width="15.85546875" bestFit="1" customWidth="1"/>
    <col min="10" max="10" width="13.42578125" bestFit="1" customWidth="1"/>
    <col min="11" max="11" width="9" bestFit="1" customWidth="1"/>
    <col min="12" max="12" width="5" bestFit="1" customWidth="1"/>
    <col min="13" max="13" width="11.28515625" bestFit="1" customWidth="1"/>
  </cols>
  <sheetData>
    <row r="3" spans="1:13" x14ac:dyDescent="0.25">
      <c r="A3" s="2" t="s">
        <v>21</v>
      </c>
      <c r="B3" t="s">
        <v>23</v>
      </c>
      <c r="E3" s="2" t="s">
        <v>21</v>
      </c>
      <c r="F3" t="s">
        <v>23</v>
      </c>
      <c r="J3" s="2" t="s">
        <v>23</v>
      </c>
      <c r="K3" s="2" t="s">
        <v>24</v>
      </c>
    </row>
    <row r="4" spans="1:13" x14ac:dyDescent="0.25">
      <c r="A4" s="3" t="s">
        <v>6</v>
      </c>
      <c r="B4" s="4">
        <v>324</v>
      </c>
      <c r="E4" s="3" t="s">
        <v>6</v>
      </c>
      <c r="F4" s="4">
        <v>324</v>
      </c>
      <c r="J4" s="2" t="s">
        <v>21</v>
      </c>
      <c r="K4">
        <v>2023</v>
      </c>
      <c r="L4">
        <v>2024</v>
      </c>
      <c r="M4" t="s">
        <v>22</v>
      </c>
    </row>
    <row r="5" spans="1:13" x14ac:dyDescent="0.25">
      <c r="A5" s="3" t="s">
        <v>11</v>
      </c>
      <c r="B5" s="4">
        <v>365</v>
      </c>
      <c r="E5" s="5" t="s">
        <v>10</v>
      </c>
      <c r="F5" s="4">
        <v>220</v>
      </c>
      <c r="J5" s="3" t="s">
        <v>6</v>
      </c>
      <c r="K5" s="4">
        <v>80</v>
      </c>
      <c r="L5" s="4">
        <v>244</v>
      </c>
      <c r="M5" s="4">
        <v>324</v>
      </c>
    </row>
    <row r="6" spans="1:13" x14ac:dyDescent="0.25">
      <c r="A6" s="3" t="s">
        <v>12</v>
      </c>
      <c r="B6" s="4">
        <v>429</v>
      </c>
      <c r="E6" s="5" t="s">
        <v>8</v>
      </c>
      <c r="F6" s="4">
        <v>50</v>
      </c>
      <c r="J6" s="3" t="s">
        <v>11</v>
      </c>
      <c r="K6" s="4">
        <v>277</v>
      </c>
      <c r="L6" s="4">
        <v>88</v>
      </c>
      <c r="M6" s="4">
        <v>365</v>
      </c>
    </row>
    <row r="7" spans="1:13" x14ac:dyDescent="0.25">
      <c r="A7" s="3" t="s">
        <v>9</v>
      </c>
      <c r="B7" s="4">
        <v>230</v>
      </c>
      <c r="E7" s="5" t="s">
        <v>7</v>
      </c>
      <c r="F7" s="4">
        <v>54</v>
      </c>
      <c r="J7" s="3" t="s">
        <v>12</v>
      </c>
      <c r="K7" s="4">
        <v>99</v>
      </c>
      <c r="L7" s="4">
        <v>330</v>
      </c>
      <c r="M7" s="4">
        <v>429</v>
      </c>
    </row>
    <row r="8" spans="1:13" x14ac:dyDescent="0.25">
      <c r="A8" s="3" t="s">
        <v>22</v>
      </c>
      <c r="B8" s="4">
        <v>1348</v>
      </c>
      <c r="E8" s="3" t="s">
        <v>11</v>
      </c>
      <c r="F8" s="4">
        <v>365</v>
      </c>
      <c r="J8" s="3" t="s">
        <v>9</v>
      </c>
      <c r="K8" s="4">
        <v>44</v>
      </c>
      <c r="L8" s="4">
        <v>186</v>
      </c>
      <c r="M8" s="4">
        <v>230</v>
      </c>
    </row>
    <row r="9" spans="1:13" x14ac:dyDescent="0.25">
      <c r="E9" s="5" t="s">
        <v>10</v>
      </c>
      <c r="F9" s="4">
        <v>200</v>
      </c>
      <c r="J9" s="3" t="s">
        <v>22</v>
      </c>
      <c r="K9" s="4">
        <v>500</v>
      </c>
      <c r="L9" s="4">
        <v>848</v>
      </c>
      <c r="M9" s="4">
        <v>1348</v>
      </c>
    </row>
    <row r="10" spans="1:13" x14ac:dyDescent="0.25">
      <c r="E10" s="5" t="s">
        <v>8</v>
      </c>
      <c r="F10" s="4">
        <v>77</v>
      </c>
    </row>
    <row r="11" spans="1:13" x14ac:dyDescent="0.25">
      <c r="E11" s="5" t="s">
        <v>7</v>
      </c>
      <c r="F11" s="4">
        <v>88</v>
      </c>
    </row>
    <row r="12" spans="1:13" x14ac:dyDescent="0.25">
      <c r="E12" s="3" t="s">
        <v>12</v>
      </c>
      <c r="F12" s="4">
        <v>429</v>
      </c>
    </row>
    <row r="13" spans="1:13" x14ac:dyDescent="0.25">
      <c r="E13" s="5" t="s">
        <v>10</v>
      </c>
      <c r="F13" s="4">
        <v>330</v>
      </c>
    </row>
    <row r="14" spans="1:13" x14ac:dyDescent="0.25">
      <c r="E14" s="5" t="s">
        <v>7</v>
      </c>
      <c r="F14" s="4">
        <v>99</v>
      </c>
    </row>
    <row r="15" spans="1:13" x14ac:dyDescent="0.25">
      <c r="E15" s="3" t="s">
        <v>9</v>
      </c>
      <c r="F15" s="4">
        <v>230</v>
      </c>
    </row>
    <row r="16" spans="1:13" x14ac:dyDescent="0.25">
      <c r="E16" s="5" t="s">
        <v>10</v>
      </c>
      <c r="F16" s="4">
        <v>120</v>
      </c>
    </row>
    <row r="17" spans="1:12" x14ac:dyDescent="0.25">
      <c r="E17" s="5" t="s">
        <v>8</v>
      </c>
      <c r="F17" s="4">
        <v>66</v>
      </c>
    </row>
    <row r="18" spans="1:12" x14ac:dyDescent="0.25">
      <c r="E18" s="5" t="s">
        <v>7</v>
      </c>
      <c r="F18" s="4">
        <v>44</v>
      </c>
    </row>
    <row r="19" spans="1:12" x14ac:dyDescent="0.25">
      <c r="E19" s="3" t="s">
        <v>22</v>
      </c>
      <c r="F19" s="4">
        <v>1348</v>
      </c>
    </row>
    <row r="30" spans="1:12" x14ac:dyDescent="0.25">
      <c r="B30" s="2" t="s">
        <v>24</v>
      </c>
      <c r="J30" s="2" t="s">
        <v>0</v>
      </c>
      <c r="K30" s="2" t="s">
        <v>1</v>
      </c>
      <c r="L30" t="s">
        <v>23</v>
      </c>
    </row>
    <row r="31" spans="1:12" x14ac:dyDescent="0.25">
      <c r="B31">
        <v>2023</v>
      </c>
      <c r="D31">
        <v>2024</v>
      </c>
      <c r="F31" t="s">
        <v>25</v>
      </c>
      <c r="G31" t="s">
        <v>26</v>
      </c>
      <c r="J31" t="s">
        <v>6</v>
      </c>
      <c r="K31" t="s">
        <v>10</v>
      </c>
      <c r="L31" s="4">
        <v>220</v>
      </c>
    </row>
    <row r="32" spans="1:12" x14ac:dyDescent="0.25">
      <c r="A32" s="2" t="s">
        <v>21</v>
      </c>
      <c r="B32" t="s">
        <v>23</v>
      </c>
      <c r="C32" t="s">
        <v>27</v>
      </c>
      <c r="D32" t="s">
        <v>23</v>
      </c>
      <c r="E32" t="s">
        <v>27</v>
      </c>
      <c r="K32" t="s">
        <v>8</v>
      </c>
      <c r="L32" s="4">
        <v>50</v>
      </c>
    </row>
    <row r="33" spans="1:12" x14ac:dyDescent="0.25">
      <c r="A33" s="3" t="s">
        <v>6</v>
      </c>
      <c r="B33" s="4">
        <v>80</v>
      </c>
      <c r="C33" s="4">
        <v>8</v>
      </c>
      <c r="D33" s="4">
        <v>244</v>
      </c>
      <c r="E33" s="4">
        <v>4</v>
      </c>
      <c r="F33" s="4">
        <v>324</v>
      </c>
      <c r="G33" s="4">
        <v>12</v>
      </c>
      <c r="K33" t="s">
        <v>7</v>
      </c>
      <c r="L33" s="4">
        <v>54</v>
      </c>
    </row>
    <row r="34" spans="1:12" x14ac:dyDescent="0.25">
      <c r="A34" s="3" t="s">
        <v>11</v>
      </c>
      <c r="B34" s="4">
        <v>277</v>
      </c>
      <c r="C34" s="4">
        <v>9</v>
      </c>
      <c r="D34" s="4">
        <v>88</v>
      </c>
      <c r="E34" s="4">
        <v>8</v>
      </c>
      <c r="F34" s="4">
        <v>365</v>
      </c>
      <c r="G34" s="4">
        <v>17</v>
      </c>
      <c r="J34" t="s">
        <v>28</v>
      </c>
      <c r="L34" s="4">
        <v>324</v>
      </c>
    </row>
    <row r="35" spans="1:12" x14ac:dyDescent="0.25">
      <c r="A35" s="3" t="s">
        <v>12</v>
      </c>
      <c r="B35" s="4">
        <v>99</v>
      </c>
      <c r="C35" s="4">
        <v>9</v>
      </c>
      <c r="D35" s="4">
        <v>330</v>
      </c>
      <c r="E35" s="4">
        <v>3</v>
      </c>
      <c r="F35" s="4">
        <v>429</v>
      </c>
      <c r="G35" s="4">
        <v>12</v>
      </c>
      <c r="J35" t="s">
        <v>11</v>
      </c>
      <c r="K35" t="s">
        <v>10</v>
      </c>
      <c r="L35" s="4">
        <v>200</v>
      </c>
    </row>
    <row r="36" spans="1:12" x14ac:dyDescent="0.25">
      <c r="A36" s="3" t="s">
        <v>9</v>
      </c>
      <c r="B36" s="4">
        <v>44</v>
      </c>
      <c r="C36" s="4">
        <v>4</v>
      </c>
      <c r="D36" s="4">
        <v>186</v>
      </c>
      <c r="E36" s="4">
        <v>7</v>
      </c>
      <c r="F36" s="4">
        <v>230</v>
      </c>
      <c r="G36" s="4">
        <v>11</v>
      </c>
      <c r="K36" t="s">
        <v>8</v>
      </c>
      <c r="L36" s="4">
        <v>77</v>
      </c>
    </row>
    <row r="37" spans="1:12" x14ac:dyDescent="0.25">
      <c r="A37" s="3" t="s">
        <v>22</v>
      </c>
      <c r="B37" s="4">
        <v>500</v>
      </c>
      <c r="C37" s="4">
        <v>30</v>
      </c>
      <c r="D37" s="4">
        <v>848</v>
      </c>
      <c r="E37" s="4">
        <v>22</v>
      </c>
      <c r="F37" s="4">
        <v>1348</v>
      </c>
      <c r="G37" s="4">
        <v>52</v>
      </c>
      <c r="K37" t="s">
        <v>7</v>
      </c>
      <c r="L37" s="4">
        <v>88</v>
      </c>
    </row>
    <row r="38" spans="1:12" x14ac:dyDescent="0.25">
      <c r="J38" t="s">
        <v>29</v>
      </c>
      <c r="L38" s="4">
        <v>365</v>
      </c>
    </row>
    <row r="39" spans="1:12" x14ac:dyDescent="0.25">
      <c r="J39" t="s">
        <v>12</v>
      </c>
      <c r="K39" t="s">
        <v>10</v>
      </c>
      <c r="L39" s="4">
        <v>330</v>
      </c>
    </row>
    <row r="40" spans="1:12" x14ac:dyDescent="0.25">
      <c r="K40" t="s">
        <v>7</v>
      </c>
      <c r="L40" s="4">
        <v>99</v>
      </c>
    </row>
    <row r="41" spans="1:12" x14ac:dyDescent="0.25">
      <c r="J41" t="s">
        <v>30</v>
      </c>
      <c r="L41" s="4">
        <v>429</v>
      </c>
    </row>
    <row r="42" spans="1:12" x14ac:dyDescent="0.25">
      <c r="J42" t="s">
        <v>9</v>
      </c>
      <c r="K42" t="s">
        <v>10</v>
      </c>
      <c r="L42" s="4">
        <v>120</v>
      </c>
    </row>
    <row r="43" spans="1:12" x14ac:dyDescent="0.25">
      <c r="K43" t="s">
        <v>8</v>
      </c>
      <c r="L43" s="4">
        <v>66</v>
      </c>
    </row>
    <row r="44" spans="1:12" x14ac:dyDescent="0.25">
      <c r="K44" t="s">
        <v>7</v>
      </c>
      <c r="L44" s="4">
        <v>44</v>
      </c>
    </row>
    <row r="45" spans="1:12" x14ac:dyDescent="0.25">
      <c r="J45" t="s">
        <v>31</v>
      </c>
      <c r="L45" s="4">
        <v>230</v>
      </c>
    </row>
    <row r="46" spans="1:12" x14ac:dyDescent="0.25">
      <c r="J46" t="s">
        <v>22</v>
      </c>
      <c r="L46" s="4">
        <v>1348</v>
      </c>
    </row>
    <row r="60" spans="1:12" x14ac:dyDescent="0.25">
      <c r="A60" s="2" t="s">
        <v>2</v>
      </c>
      <c r="B60" s="3">
        <v>2023</v>
      </c>
    </row>
    <row r="62" spans="1:12" x14ac:dyDescent="0.25">
      <c r="A62" s="2" t="s">
        <v>21</v>
      </c>
      <c r="B62" t="s">
        <v>23</v>
      </c>
      <c r="J62" s="2" t="s">
        <v>23</v>
      </c>
      <c r="K62" s="2" t="s">
        <v>24</v>
      </c>
    </row>
    <row r="63" spans="1:12" x14ac:dyDescent="0.25">
      <c r="A63" s="3" t="s">
        <v>10</v>
      </c>
      <c r="B63" s="4">
        <v>200</v>
      </c>
      <c r="J63" s="2" t="s">
        <v>21</v>
      </c>
      <c r="K63">
        <v>2023</v>
      </c>
      <c r="L63">
        <v>2024</v>
      </c>
    </row>
    <row r="64" spans="1:12" x14ac:dyDescent="0.25">
      <c r="A64" s="3" t="s">
        <v>8</v>
      </c>
      <c r="B64" s="4">
        <v>127</v>
      </c>
      <c r="J64" s="3" t="s">
        <v>6</v>
      </c>
      <c r="K64" s="4">
        <v>80</v>
      </c>
      <c r="L64" s="4">
        <v>244</v>
      </c>
    </row>
    <row r="65" spans="1:12" x14ac:dyDescent="0.25">
      <c r="A65" s="3" t="s">
        <v>7</v>
      </c>
      <c r="B65" s="4">
        <v>173</v>
      </c>
      <c r="J65" s="3" t="s">
        <v>11</v>
      </c>
      <c r="K65" s="4">
        <v>277</v>
      </c>
      <c r="L65" s="4">
        <v>88</v>
      </c>
    </row>
    <row r="66" spans="1:12" x14ac:dyDescent="0.25">
      <c r="A66" s="3" t="s">
        <v>22</v>
      </c>
      <c r="B66" s="4">
        <v>500</v>
      </c>
      <c r="J66" s="3" t="s">
        <v>12</v>
      </c>
      <c r="K66" s="4">
        <v>99</v>
      </c>
      <c r="L66" s="4">
        <v>330</v>
      </c>
    </row>
    <row r="67" spans="1:12" x14ac:dyDescent="0.25">
      <c r="J67" s="3" t="s">
        <v>9</v>
      </c>
      <c r="K67" s="4">
        <v>44</v>
      </c>
      <c r="L67" s="4">
        <v>186</v>
      </c>
    </row>
    <row r="80" spans="1:12" x14ac:dyDescent="0.25">
      <c r="A80" s="2" t="s">
        <v>21</v>
      </c>
      <c r="J80" s="2" t="s">
        <v>21</v>
      </c>
      <c r="K80" t="s">
        <v>35</v>
      </c>
    </row>
    <row r="81" spans="1:11" x14ac:dyDescent="0.25">
      <c r="A81" s="3" t="s">
        <v>6</v>
      </c>
      <c r="B81" s="4"/>
      <c r="J81" s="3" t="s">
        <v>36</v>
      </c>
      <c r="K81" s="4">
        <v>324</v>
      </c>
    </row>
    <row r="82" spans="1:11" x14ac:dyDescent="0.25">
      <c r="A82" s="5" t="s">
        <v>23</v>
      </c>
      <c r="B82" s="4">
        <v>324</v>
      </c>
      <c r="J82" s="3" t="s">
        <v>11</v>
      </c>
      <c r="K82" s="4">
        <v>365</v>
      </c>
    </row>
    <row r="83" spans="1:11" x14ac:dyDescent="0.25">
      <c r="A83" s="5" t="s">
        <v>33</v>
      </c>
      <c r="B83" s="4">
        <v>4</v>
      </c>
      <c r="J83" s="3" t="s">
        <v>12</v>
      </c>
      <c r="K83" s="4">
        <v>429</v>
      </c>
    </row>
    <row r="84" spans="1:11" x14ac:dyDescent="0.25">
      <c r="A84" s="3" t="s">
        <v>11</v>
      </c>
      <c r="B84" s="4"/>
      <c r="J84" s="3" t="s">
        <v>9</v>
      </c>
      <c r="K84" s="4">
        <v>230</v>
      </c>
    </row>
    <row r="85" spans="1:11" x14ac:dyDescent="0.25">
      <c r="A85" s="5" t="s">
        <v>23</v>
      </c>
      <c r="B85" s="4">
        <v>365</v>
      </c>
      <c r="J85" s="3" t="s">
        <v>22</v>
      </c>
      <c r="K85" s="4">
        <v>1348</v>
      </c>
    </row>
    <row r="86" spans="1:11" x14ac:dyDescent="0.25">
      <c r="A86" s="5" t="s">
        <v>33</v>
      </c>
      <c r="B86" s="4">
        <v>3</v>
      </c>
    </row>
    <row r="87" spans="1:11" x14ac:dyDescent="0.25">
      <c r="A87" s="3" t="s">
        <v>12</v>
      </c>
      <c r="B87" s="4"/>
    </row>
    <row r="88" spans="1:11" x14ac:dyDescent="0.25">
      <c r="A88" s="5" t="s">
        <v>23</v>
      </c>
      <c r="B88" s="4">
        <v>429</v>
      </c>
    </row>
    <row r="89" spans="1:11" x14ac:dyDescent="0.25">
      <c r="A89" s="5" t="s">
        <v>33</v>
      </c>
      <c r="B89" s="4">
        <v>2</v>
      </c>
    </row>
    <row r="90" spans="1:11" x14ac:dyDescent="0.25">
      <c r="A90" s="3" t="s">
        <v>9</v>
      </c>
      <c r="B90" s="4"/>
    </row>
    <row r="91" spans="1:11" x14ac:dyDescent="0.25">
      <c r="A91" s="5" t="s">
        <v>23</v>
      </c>
      <c r="B91" s="4">
        <v>230</v>
      </c>
    </row>
    <row r="92" spans="1:11" x14ac:dyDescent="0.25">
      <c r="A92" s="5" t="s">
        <v>33</v>
      </c>
      <c r="B92" s="4">
        <v>3</v>
      </c>
    </row>
    <row r="93" spans="1:11" x14ac:dyDescent="0.25">
      <c r="A93" s="3" t="s">
        <v>25</v>
      </c>
      <c r="B93" s="4">
        <v>1348</v>
      </c>
    </row>
    <row r="94" spans="1:11" x14ac:dyDescent="0.25">
      <c r="A94" s="3" t="s">
        <v>34</v>
      </c>
      <c r="B94" s="4">
        <v>12</v>
      </c>
    </row>
    <row r="105" spans="1:2" x14ac:dyDescent="0.25">
      <c r="A105" s="2" t="s">
        <v>21</v>
      </c>
      <c r="B105" t="s">
        <v>27</v>
      </c>
    </row>
    <row r="106" spans="1:2" x14ac:dyDescent="0.25">
      <c r="A106" s="3">
        <v>2023</v>
      </c>
      <c r="B106" s="4">
        <v>30</v>
      </c>
    </row>
    <row r="107" spans="1:2" x14ac:dyDescent="0.25">
      <c r="A107" s="3">
        <v>2024</v>
      </c>
      <c r="B107" s="4">
        <v>22</v>
      </c>
    </row>
    <row r="108" spans="1:2" x14ac:dyDescent="0.25">
      <c r="A108" s="3" t="s">
        <v>22</v>
      </c>
      <c r="B108" s="4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2032-88D9-4E3F-A96F-3644B872F747}">
  <dimension ref="A3:L142"/>
  <sheetViews>
    <sheetView workbookViewId="0"/>
  </sheetViews>
  <sheetFormatPr defaultRowHeight="15" x14ac:dyDescent="0.25"/>
  <cols>
    <col min="1" max="1" width="18.5703125" bestFit="1" customWidth="1"/>
    <col min="2" max="2" width="5" bestFit="1" customWidth="1"/>
    <col min="3" max="3" width="12.140625" bestFit="1" customWidth="1"/>
    <col min="4" max="4" width="5" bestFit="1" customWidth="1"/>
    <col min="5" max="5" width="5.7109375" bestFit="1" customWidth="1"/>
    <col min="6" max="6" width="11.28515625" bestFit="1" customWidth="1"/>
    <col min="10" max="10" width="13.42578125" bestFit="1" customWidth="1"/>
    <col min="11" max="11" width="12.5703125" bestFit="1" customWidth="1"/>
    <col min="12" max="12" width="15.85546875" bestFit="1" customWidth="1"/>
  </cols>
  <sheetData>
    <row r="3" spans="1:12" x14ac:dyDescent="0.25">
      <c r="A3" s="2" t="s">
        <v>23</v>
      </c>
      <c r="B3" s="2" t="s">
        <v>24</v>
      </c>
      <c r="J3" s="2" t="s">
        <v>0</v>
      </c>
      <c r="K3" s="2" t="s">
        <v>1</v>
      </c>
      <c r="L3" t="s">
        <v>23</v>
      </c>
    </row>
    <row r="4" spans="1:12" x14ac:dyDescent="0.25">
      <c r="A4" s="2" t="s">
        <v>21</v>
      </c>
      <c r="B4" t="s">
        <v>6</v>
      </c>
      <c r="C4" t="s">
        <v>11</v>
      </c>
      <c r="D4" t="s">
        <v>12</v>
      </c>
      <c r="E4" t="s">
        <v>9</v>
      </c>
      <c r="F4" t="s">
        <v>22</v>
      </c>
      <c r="J4" t="s">
        <v>6</v>
      </c>
      <c r="L4" s="4"/>
    </row>
    <row r="5" spans="1:12" x14ac:dyDescent="0.25">
      <c r="A5" s="3" t="s">
        <v>10</v>
      </c>
      <c r="B5" s="4">
        <v>220</v>
      </c>
      <c r="C5" s="4">
        <v>200</v>
      </c>
      <c r="D5" s="4">
        <v>330</v>
      </c>
      <c r="E5" s="4">
        <v>120</v>
      </c>
      <c r="F5" s="4">
        <v>870</v>
      </c>
      <c r="K5" t="s">
        <v>10</v>
      </c>
      <c r="L5" s="4">
        <v>220</v>
      </c>
    </row>
    <row r="6" spans="1:12" x14ac:dyDescent="0.25">
      <c r="A6" s="3" t="s">
        <v>8</v>
      </c>
      <c r="B6" s="4">
        <v>50</v>
      </c>
      <c r="C6" s="4">
        <v>77</v>
      </c>
      <c r="D6" s="4"/>
      <c r="E6" s="4">
        <v>66</v>
      </c>
      <c r="F6" s="4">
        <v>193</v>
      </c>
      <c r="K6" t="s">
        <v>8</v>
      </c>
      <c r="L6" s="4">
        <v>50</v>
      </c>
    </row>
    <row r="7" spans="1:12" x14ac:dyDescent="0.25">
      <c r="A7" s="3" t="s">
        <v>7</v>
      </c>
      <c r="B7" s="4">
        <v>54</v>
      </c>
      <c r="C7" s="4">
        <v>88</v>
      </c>
      <c r="D7" s="4">
        <v>99</v>
      </c>
      <c r="E7" s="4">
        <v>44</v>
      </c>
      <c r="F7" s="4">
        <v>285</v>
      </c>
      <c r="K7" t="s">
        <v>7</v>
      </c>
      <c r="L7" s="4">
        <v>54</v>
      </c>
    </row>
    <row r="8" spans="1:12" x14ac:dyDescent="0.25">
      <c r="A8" s="3" t="s">
        <v>22</v>
      </c>
      <c r="B8" s="4">
        <v>324</v>
      </c>
      <c r="C8" s="4">
        <v>365</v>
      </c>
      <c r="D8" s="4">
        <v>429</v>
      </c>
      <c r="E8" s="4">
        <v>230</v>
      </c>
      <c r="F8" s="4">
        <v>1348</v>
      </c>
      <c r="J8" t="s">
        <v>28</v>
      </c>
      <c r="L8" s="4">
        <v>324</v>
      </c>
    </row>
    <row r="9" spans="1:12" x14ac:dyDescent="0.25">
      <c r="J9" t="s">
        <v>11</v>
      </c>
      <c r="L9" s="4"/>
    </row>
    <row r="10" spans="1:12" x14ac:dyDescent="0.25">
      <c r="K10" t="s">
        <v>10</v>
      </c>
      <c r="L10" s="4">
        <v>200</v>
      </c>
    </row>
    <row r="11" spans="1:12" x14ac:dyDescent="0.25">
      <c r="K11" t="s">
        <v>8</v>
      </c>
      <c r="L11" s="4">
        <v>77</v>
      </c>
    </row>
    <row r="12" spans="1:12" x14ac:dyDescent="0.25">
      <c r="K12" t="s">
        <v>7</v>
      </c>
      <c r="L12" s="4">
        <v>88</v>
      </c>
    </row>
    <row r="13" spans="1:12" x14ac:dyDescent="0.25">
      <c r="J13" t="s">
        <v>29</v>
      </c>
      <c r="L13" s="4">
        <v>365</v>
      </c>
    </row>
    <row r="14" spans="1:12" x14ac:dyDescent="0.25">
      <c r="J14" t="s">
        <v>12</v>
      </c>
      <c r="L14" s="4"/>
    </row>
    <row r="15" spans="1:12" x14ac:dyDescent="0.25">
      <c r="K15" t="s">
        <v>10</v>
      </c>
      <c r="L15" s="4">
        <v>330</v>
      </c>
    </row>
    <row r="16" spans="1:12" x14ac:dyDescent="0.25">
      <c r="K16" t="s">
        <v>7</v>
      </c>
      <c r="L16" s="4">
        <v>99</v>
      </c>
    </row>
    <row r="17" spans="1:12" x14ac:dyDescent="0.25">
      <c r="J17" t="s">
        <v>30</v>
      </c>
      <c r="L17" s="4">
        <v>429</v>
      </c>
    </row>
    <row r="18" spans="1:12" x14ac:dyDescent="0.25">
      <c r="J18" t="s">
        <v>9</v>
      </c>
      <c r="L18" s="4"/>
    </row>
    <row r="19" spans="1:12" x14ac:dyDescent="0.25">
      <c r="K19" t="s">
        <v>10</v>
      </c>
      <c r="L19" s="4">
        <v>120</v>
      </c>
    </row>
    <row r="20" spans="1:12" x14ac:dyDescent="0.25">
      <c r="K20" t="s">
        <v>8</v>
      </c>
      <c r="L20" s="4">
        <v>66</v>
      </c>
    </row>
    <row r="21" spans="1:12" x14ac:dyDescent="0.25">
      <c r="K21" t="s">
        <v>7</v>
      </c>
      <c r="L21" s="4">
        <v>44</v>
      </c>
    </row>
    <row r="22" spans="1:12" x14ac:dyDescent="0.25">
      <c r="J22" t="s">
        <v>31</v>
      </c>
      <c r="L22" s="4">
        <v>230</v>
      </c>
    </row>
    <row r="23" spans="1:12" x14ac:dyDescent="0.25">
      <c r="J23" t="s">
        <v>22</v>
      </c>
      <c r="L23" s="4">
        <v>1348</v>
      </c>
    </row>
    <row r="30" spans="1:12" x14ac:dyDescent="0.25">
      <c r="A30" s="2" t="s">
        <v>21</v>
      </c>
      <c r="B30" t="s">
        <v>23</v>
      </c>
      <c r="J30" s="2" t="s">
        <v>2</v>
      </c>
      <c r="K30" t="s">
        <v>32</v>
      </c>
    </row>
    <row r="31" spans="1:12" x14ac:dyDescent="0.25">
      <c r="A31" s="3" t="s">
        <v>6</v>
      </c>
      <c r="B31" s="4"/>
    </row>
    <row r="32" spans="1:12" x14ac:dyDescent="0.25">
      <c r="A32" s="5" t="s">
        <v>10</v>
      </c>
      <c r="B32" s="4">
        <v>220</v>
      </c>
      <c r="J32" s="2" t="s">
        <v>21</v>
      </c>
      <c r="K32" t="s">
        <v>23</v>
      </c>
    </row>
    <row r="33" spans="1:11" x14ac:dyDescent="0.25">
      <c r="A33" s="5" t="s">
        <v>8</v>
      </c>
      <c r="B33" s="4">
        <v>50</v>
      </c>
      <c r="J33" s="3" t="s">
        <v>10</v>
      </c>
      <c r="K33" s="4">
        <v>870</v>
      </c>
    </row>
    <row r="34" spans="1:11" x14ac:dyDescent="0.25">
      <c r="A34" s="5" t="s">
        <v>7</v>
      </c>
      <c r="B34" s="4">
        <v>54</v>
      </c>
      <c r="J34" s="3" t="s">
        <v>8</v>
      </c>
      <c r="K34" s="4">
        <v>193</v>
      </c>
    </row>
    <row r="35" spans="1:11" x14ac:dyDescent="0.25">
      <c r="A35" s="3" t="s">
        <v>11</v>
      </c>
      <c r="B35" s="4"/>
      <c r="J35" s="3" t="s">
        <v>7</v>
      </c>
      <c r="K35" s="4">
        <v>285</v>
      </c>
    </row>
    <row r="36" spans="1:11" x14ac:dyDescent="0.25">
      <c r="A36" s="5" t="s">
        <v>10</v>
      </c>
      <c r="B36" s="4">
        <v>200</v>
      </c>
      <c r="J36" s="3" t="s">
        <v>22</v>
      </c>
      <c r="K36" s="4">
        <v>1348</v>
      </c>
    </row>
    <row r="37" spans="1:11" x14ac:dyDescent="0.25">
      <c r="A37" s="5" t="s">
        <v>8</v>
      </c>
      <c r="B37" s="4">
        <v>77</v>
      </c>
    </row>
    <row r="38" spans="1:11" x14ac:dyDescent="0.25">
      <c r="A38" s="5" t="s">
        <v>7</v>
      </c>
      <c r="B38" s="4">
        <v>88</v>
      </c>
    </row>
    <row r="39" spans="1:11" x14ac:dyDescent="0.25">
      <c r="A39" s="3" t="s">
        <v>12</v>
      </c>
      <c r="B39" s="4"/>
    </row>
    <row r="40" spans="1:11" x14ac:dyDescent="0.25">
      <c r="A40" s="5" t="s">
        <v>10</v>
      </c>
      <c r="B40" s="4">
        <v>330</v>
      </c>
    </row>
    <row r="41" spans="1:11" x14ac:dyDescent="0.25">
      <c r="A41" s="5" t="s">
        <v>7</v>
      </c>
      <c r="B41" s="4">
        <v>99</v>
      </c>
    </row>
    <row r="42" spans="1:11" x14ac:dyDescent="0.25">
      <c r="A42" s="3" t="s">
        <v>9</v>
      </c>
      <c r="B42" s="4"/>
    </row>
    <row r="43" spans="1:11" x14ac:dyDescent="0.25">
      <c r="A43" s="5" t="s">
        <v>10</v>
      </c>
      <c r="B43" s="4">
        <v>120</v>
      </c>
    </row>
    <row r="44" spans="1:11" x14ac:dyDescent="0.25">
      <c r="A44" s="5" t="s">
        <v>8</v>
      </c>
      <c r="B44" s="4">
        <v>66</v>
      </c>
    </row>
    <row r="45" spans="1:11" x14ac:dyDescent="0.25">
      <c r="A45" s="5" t="s">
        <v>7</v>
      </c>
      <c r="B45" s="4">
        <v>44</v>
      </c>
    </row>
    <row r="46" spans="1:11" x14ac:dyDescent="0.25">
      <c r="A46" s="3" t="s">
        <v>22</v>
      </c>
      <c r="B46" s="4">
        <v>1348</v>
      </c>
    </row>
    <row r="60" spans="1:12" x14ac:dyDescent="0.25">
      <c r="A60" s="2" t="s">
        <v>21</v>
      </c>
      <c r="B60" t="s">
        <v>27</v>
      </c>
      <c r="J60" s="2" t="s">
        <v>21</v>
      </c>
      <c r="K60" t="s">
        <v>23</v>
      </c>
      <c r="L60" t="s">
        <v>37</v>
      </c>
    </row>
    <row r="61" spans="1:12" x14ac:dyDescent="0.25">
      <c r="A61" s="6">
        <v>44941</v>
      </c>
      <c r="B61" s="4">
        <v>3</v>
      </c>
      <c r="J61" s="3" t="s">
        <v>6</v>
      </c>
      <c r="K61" s="4">
        <v>324</v>
      </c>
      <c r="L61" s="4">
        <v>81</v>
      </c>
    </row>
    <row r="62" spans="1:12" x14ac:dyDescent="0.25">
      <c r="A62" s="6">
        <v>44977</v>
      </c>
      <c r="B62" s="4">
        <v>5</v>
      </c>
      <c r="J62" s="3" t="s">
        <v>11</v>
      </c>
      <c r="K62" s="4">
        <v>365</v>
      </c>
      <c r="L62" s="4">
        <v>121.66666666666667</v>
      </c>
    </row>
    <row r="63" spans="1:12" x14ac:dyDescent="0.25">
      <c r="A63" s="6">
        <v>45021</v>
      </c>
      <c r="B63" s="4">
        <v>4</v>
      </c>
      <c r="J63" s="3" t="s">
        <v>12</v>
      </c>
      <c r="K63" s="4">
        <v>429</v>
      </c>
      <c r="L63" s="4">
        <v>214.5</v>
      </c>
    </row>
    <row r="64" spans="1:12" x14ac:dyDescent="0.25">
      <c r="A64" s="6">
        <v>45115</v>
      </c>
      <c r="B64" s="4">
        <v>2</v>
      </c>
      <c r="J64" s="3" t="s">
        <v>9</v>
      </c>
      <c r="K64" s="4">
        <v>230</v>
      </c>
      <c r="L64" s="4">
        <v>76.666666666666671</v>
      </c>
    </row>
    <row r="65" spans="1:12" x14ac:dyDescent="0.25">
      <c r="A65" s="6">
        <v>45179</v>
      </c>
      <c r="B65" s="4">
        <v>7</v>
      </c>
      <c r="J65" s="3" t="s">
        <v>22</v>
      </c>
      <c r="K65" s="4">
        <v>1348</v>
      </c>
      <c r="L65" s="4">
        <v>112.33333333333333</v>
      </c>
    </row>
    <row r="66" spans="1:12" x14ac:dyDescent="0.25">
      <c r="A66" s="6">
        <v>45242</v>
      </c>
      <c r="B66" s="4">
        <v>9</v>
      </c>
    </row>
    <row r="67" spans="1:12" x14ac:dyDescent="0.25">
      <c r="A67" s="6">
        <v>45361</v>
      </c>
      <c r="B67" s="4">
        <v>2</v>
      </c>
    </row>
    <row r="68" spans="1:12" x14ac:dyDescent="0.25">
      <c r="A68" s="6">
        <v>45418</v>
      </c>
      <c r="B68" s="4">
        <v>1</v>
      </c>
    </row>
    <row r="69" spans="1:12" x14ac:dyDescent="0.25">
      <c r="A69" s="6">
        <v>45450</v>
      </c>
      <c r="B69" s="4">
        <v>6</v>
      </c>
    </row>
    <row r="70" spans="1:12" x14ac:dyDescent="0.25">
      <c r="A70" s="6">
        <v>45513</v>
      </c>
      <c r="B70" s="4">
        <v>8</v>
      </c>
    </row>
    <row r="71" spans="1:12" x14ac:dyDescent="0.25">
      <c r="A71" s="6">
        <v>45576</v>
      </c>
      <c r="B71" s="4">
        <v>3</v>
      </c>
    </row>
    <row r="72" spans="1:12" x14ac:dyDescent="0.25">
      <c r="A72" s="6">
        <v>45639</v>
      </c>
      <c r="B72" s="4">
        <v>2</v>
      </c>
    </row>
    <row r="73" spans="1:12" x14ac:dyDescent="0.25">
      <c r="A73" s="6" t="s">
        <v>22</v>
      </c>
      <c r="B73" s="4">
        <v>52</v>
      </c>
    </row>
    <row r="95" spans="1:11" x14ac:dyDescent="0.25">
      <c r="A95" s="2" t="s">
        <v>21</v>
      </c>
      <c r="B95" t="s">
        <v>23</v>
      </c>
      <c r="J95" s="2" t="s">
        <v>21</v>
      </c>
      <c r="K95" t="s">
        <v>23</v>
      </c>
    </row>
    <row r="96" spans="1:11" x14ac:dyDescent="0.25">
      <c r="A96" s="3" t="s">
        <v>6</v>
      </c>
      <c r="B96" s="4">
        <v>324</v>
      </c>
      <c r="J96" s="3" t="s">
        <v>6</v>
      </c>
      <c r="K96" s="4">
        <v>324</v>
      </c>
    </row>
    <row r="97" spans="1:11" x14ac:dyDescent="0.25">
      <c r="A97" s="3" t="s">
        <v>11</v>
      </c>
      <c r="B97" s="4">
        <v>365</v>
      </c>
      <c r="J97" s="3" t="s">
        <v>11</v>
      </c>
      <c r="K97" s="4">
        <v>365</v>
      </c>
    </row>
    <row r="98" spans="1:11" x14ac:dyDescent="0.25">
      <c r="A98" s="3" t="s">
        <v>12</v>
      </c>
      <c r="B98" s="4">
        <v>429</v>
      </c>
      <c r="J98" s="3" t="s">
        <v>12</v>
      </c>
      <c r="K98" s="4">
        <v>429</v>
      </c>
    </row>
    <row r="99" spans="1:11" x14ac:dyDescent="0.25">
      <c r="A99" s="3" t="s">
        <v>9</v>
      </c>
      <c r="B99" s="4">
        <v>230</v>
      </c>
      <c r="J99" s="3" t="s">
        <v>22</v>
      </c>
      <c r="K99" s="4">
        <v>1118</v>
      </c>
    </row>
    <row r="100" spans="1:11" x14ac:dyDescent="0.25">
      <c r="A100" s="3" t="s">
        <v>22</v>
      </c>
      <c r="B100" s="4">
        <v>1348</v>
      </c>
    </row>
    <row r="110" spans="1:11" x14ac:dyDescent="0.25">
      <c r="A110" s="2" t="s">
        <v>0</v>
      </c>
      <c r="B110" s="2" t="s">
        <v>1</v>
      </c>
      <c r="C110" s="2" t="s">
        <v>46</v>
      </c>
    </row>
    <row r="111" spans="1:11" x14ac:dyDescent="0.25">
      <c r="A111" t="s">
        <v>6</v>
      </c>
      <c r="B111" t="s">
        <v>10</v>
      </c>
      <c r="C111" t="s">
        <v>23</v>
      </c>
      <c r="D111" s="4">
        <v>220</v>
      </c>
    </row>
    <row r="112" spans="1:11" x14ac:dyDescent="0.25">
      <c r="C112" t="s">
        <v>27</v>
      </c>
      <c r="D112" s="4">
        <v>2</v>
      </c>
    </row>
    <row r="113" spans="1:4" x14ac:dyDescent="0.25">
      <c r="B113" t="s">
        <v>8</v>
      </c>
      <c r="C113" t="s">
        <v>23</v>
      </c>
      <c r="D113" s="4">
        <v>50</v>
      </c>
    </row>
    <row r="114" spans="1:4" x14ac:dyDescent="0.25">
      <c r="C114" t="s">
        <v>27</v>
      </c>
      <c r="D114" s="4">
        <v>5</v>
      </c>
    </row>
    <row r="115" spans="1:4" x14ac:dyDescent="0.25">
      <c r="B115" t="s">
        <v>7</v>
      </c>
      <c r="C115" t="s">
        <v>23</v>
      </c>
      <c r="D115" s="4">
        <v>54</v>
      </c>
    </row>
    <row r="116" spans="1:4" x14ac:dyDescent="0.25">
      <c r="C116" t="s">
        <v>27</v>
      </c>
      <c r="D116" s="4">
        <v>5</v>
      </c>
    </row>
    <row r="117" spans="1:4" x14ac:dyDescent="0.25">
      <c r="A117" t="s">
        <v>38</v>
      </c>
      <c r="D117" s="4">
        <v>324</v>
      </c>
    </row>
    <row r="118" spans="1:4" x14ac:dyDescent="0.25">
      <c r="A118" t="s">
        <v>39</v>
      </c>
      <c r="D118" s="4">
        <v>12</v>
      </c>
    </row>
    <row r="119" spans="1:4" x14ac:dyDescent="0.25">
      <c r="A119" t="s">
        <v>11</v>
      </c>
      <c r="B119" t="s">
        <v>10</v>
      </c>
      <c r="C119" t="s">
        <v>23</v>
      </c>
      <c r="D119" s="4">
        <v>200</v>
      </c>
    </row>
    <row r="120" spans="1:4" x14ac:dyDescent="0.25">
      <c r="C120" t="s">
        <v>27</v>
      </c>
      <c r="D120" s="4">
        <v>2</v>
      </c>
    </row>
    <row r="121" spans="1:4" x14ac:dyDescent="0.25">
      <c r="B121" t="s">
        <v>8</v>
      </c>
      <c r="C121" t="s">
        <v>23</v>
      </c>
      <c r="D121" s="4">
        <v>77</v>
      </c>
    </row>
    <row r="122" spans="1:4" x14ac:dyDescent="0.25">
      <c r="C122" t="s">
        <v>27</v>
      </c>
      <c r="D122" s="4">
        <v>7</v>
      </c>
    </row>
    <row r="123" spans="1:4" x14ac:dyDescent="0.25">
      <c r="B123" t="s">
        <v>7</v>
      </c>
      <c r="C123" t="s">
        <v>23</v>
      </c>
      <c r="D123" s="4">
        <v>88</v>
      </c>
    </row>
    <row r="124" spans="1:4" x14ac:dyDescent="0.25">
      <c r="C124" t="s">
        <v>27</v>
      </c>
      <c r="D124" s="4">
        <v>8</v>
      </c>
    </row>
    <row r="125" spans="1:4" x14ac:dyDescent="0.25">
      <c r="A125" t="s">
        <v>40</v>
      </c>
      <c r="D125" s="4">
        <v>365</v>
      </c>
    </row>
    <row r="126" spans="1:4" x14ac:dyDescent="0.25">
      <c r="A126" t="s">
        <v>41</v>
      </c>
      <c r="D126" s="4">
        <v>17</v>
      </c>
    </row>
    <row r="127" spans="1:4" x14ac:dyDescent="0.25">
      <c r="A127" t="s">
        <v>12</v>
      </c>
      <c r="B127" t="s">
        <v>10</v>
      </c>
      <c r="C127" t="s">
        <v>23</v>
      </c>
      <c r="D127" s="4">
        <v>330</v>
      </c>
    </row>
    <row r="128" spans="1:4" x14ac:dyDescent="0.25">
      <c r="C128" t="s">
        <v>27</v>
      </c>
      <c r="D128" s="4">
        <v>3</v>
      </c>
    </row>
    <row r="129" spans="1:4" x14ac:dyDescent="0.25">
      <c r="B129" t="s">
        <v>7</v>
      </c>
      <c r="C129" t="s">
        <v>23</v>
      </c>
      <c r="D129" s="4">
        <v>99</v>
      </c>
    </row>
    <row r="130" spans="1:4" x14ac:dyDescent="0.25">
      <c r="C130" t="s">
        <v>27</v>
      </c>
      <c r="D130" s="4">
        <v>9</v>
      </c>
    </row>
    <row r="131" spans="1:4" x14ac:dyDescent="0.25">
      <c r="A131" t="s">
        <v>42</v>
      </c>
      <c r="D131" s="4">
        <v>429</v>
      </c>
    </row>
    <row r="132" spans="1:4" x14ac:dyDescent="0.25">
      <c r="A132" t="s">
        <v>43</v>
      </c>
      <c r="D132" s="4">
        <v>12</v>
      </c>
    </row>
    <row r="133" spans="1:4" x14ac:dyDescent="0.25">
      <c r="A133" t="s">
        <v>9</v>
      </c>
      <c r="B133" t="s">
        <v>10</v>
      </c>
      <c r="C133" t="s">
        <v>23</v>
      </c>
      <c r="D133" s="4">
        <v>120</v>
      </c>
    </row>
    <row r="134" spans="1:4" x14ac:dyDescent="0.25">
      <c r="C134" t="s">
        <v>27</v>
      </c>
      <c r="D134" s="4">
        <v>1</v>
      </c>
    </row>
    <row r="135" spans="1:4" x14ac:dyDescent="0.25">
      <c r="B135" t="s">
        <v>8</v>
      </c>
      <c r="C135" t="s">
        <v>23</v>
      </c>
      <c r="D135" s="4">
        <v>66</v>
      </c>
    </row>
    <row r="136" spans="1:4" x14ac:dyDescent="0.25">
      <c r="C136" t="s">
        <v>27</v>
      </c>
      <c r="D136" s="4">
        <v>6</v>
      </c>
    </row>
    <row r="137" spans="1:4" x14ac:dyDescent="0.25">
      <c r="B137" t="s">
        <v>7</v>
      </c>
      <c r="C137" t="s">
        <v>23</v>
      </c>
      <c r="D137" s="4">
        <v>44</v>
      </c>
    </row>
    <row r="138" spans="1:4" x14ac:dyDescent="0.25">
      <c r="C138" t="s">
        <v>27</v>
      </c>
      <c r="D138" s="4">
        <v>4</v>
      </c>
    </row>
    <row r="139" spans="1:4" x14ac:dyDescent="0.25">
      <c r="A139" t="s">
        <v>44</v>
      </c>
      <c r="D139" s="4">
        <v>230</v>
      </c>
    </row>
    <row r="140" spans="1:4" x14ac:dyDescent="0.25">
      <c r="A140" t="s">
        <v>45</v>
      </c>
      <c r="D140" s="4">
        <v>11</v>
      </c>
    </row>
    <row r="141" spans="1:4" x14ac:dyDescent="0.25">
      <c r="A141" t="s">
        <v>25</v>
      </c>
      <c r="D141" s="4">
        <v>1348</v>
      </c>
    </row>
    <row r="142" spans="1:4" x14ac:dyDescent="0.25">
      <c r="A142" t="s">
        <v>26</v>
      </c>
      <c r="D142" s="4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9847-B821-461F-AEF2-B53DD0ABA15A}">
  <dimension ref="A3:Q82"/>
  <sheetViews>
    <sheetView workbookViewId="0"/>
  </sheetViews>
  <sheetFormatPr defaultRowHeight="15" x14ac:dyDescent="0.25"/>
  <cols>
    <col min="1" max="1" width="13.42578125" bestFit="1" customWidth="1"/>
    <col min="2" max="2" width="12.85546875" bestFit="1" customWidth="1"/>
    <col min="10" max="10" width="12.28515625" bestFit="1" customWidth="1"/>
    <col min="11" max="11" width="16.85546875" bestFit="1" customWidth="1"/>
    <col min="12" max="12" width="4.140625" bestFit="1" customWidth="1"/>
    <col min="13" max="13" width="9.85546875" bestFit="1" customWidth="1"/>
    <col min="14" max="14" width="6.42578125" bestFit="1" customWidth="1"/>
    <col min="15" max="15" width="4.42578125" bestFit="1" customWidth="1"/>
    <col min="16" max="16" width="9.42578125" bestFit="1" customWidth="1"/>
    <col min="17" max="17" width="11.28515625" bestFit="1" customWidth="1"/>
  </cols>
  <sheetData>
    <row r="3" spans="1:11" x14ac:dyDescent="0.25">
      <c r="A3" s="2" t="s">
        <v>21</v>
      </c>
      <c r="B3" t="s">
        <v>27</v>
      </c>
      <c r="J3" s="2" t="s">
        <v>21</v>
      </c>
      <c r="K3" t="s">
        <v>27</v>
      </c>
    </row>
    <row r="4" spans="1:11" x14ac:dyDescent="0.25">
      <c r="A4" s="3" t="s">
        <v>47</v>
      </c>
      <c r="B4" s="4">
        <v>30</v>
      </c>
      <c r="J4" s="3" t="s">
        <v>61</v>
      </c>
      <c r="K4" s="4">
        <v>44</v>
      </c>
    </row>
    <row r="5" spans="1:11" x14ac:dyDescent="0.25">
      <c r="A5" s="5" t="s">
        <v>48</v>
      </c>
      <c r="B5" s="4">
        <v>3</v>
      </c>
      <c r="J5" s="3" t="s">
        <v>62</v>
      </c>
      <c r="K5" s="4">
        <v>1</v>
      </c>
    </row>
    <row r="6" spans="1:11" x14ac:dyDescent="0.25">
      <c r="A6" s="5" t="s">
        <v>49</v>
      </c>
      <c r="B6" s="4">
        <v>5</v>
      </c>
      <c r="J6" s="3" t="s">
        <v>63</v>
      </c>
      <c r="K6" s="4">
        <v>4</v>
      </c>
    </row>
    <row r="7" spans="1:11" x14ac:dyDescent="0.25">
      <c r="A7" s="5" t="s">
        <v>50</v>
      </c>
      <c r="B7" s="4">
        <v>4</v>
      </c>
      <c r="J7" s="3" t="s">
        <v>64</v>
      </c>
      <c r="K7" s="4">
        <v>3</v>
      </c>
    </row>
    <row r="8" spans="1:11" x14ac:dyDescent="0.25">
      <c r="A8" s="5" t="s">
        <v>51</v>
      </c>
      <c r="B8" s="4">
        <v>2</v>
      </c>
      <c r="J8" s="3" t="s">
        <v>22</v>
      </c>
      <c r="K8" s="4">
        <v>52</v>
      </c>
    </row>
    <row r="9" spans="1:11" x14ac:dyDescent="0.25">
      <c r="A9" s="5" t="s">
        <v>52</v>
      </c>
      <c r="B9" s="4">
        <v>7</v>
      </c>
    </row>
    <row r="10" spans="1:11" x14ac:dyDescent="0.25">
      <c r="A10" s="5" t="s">
        <v>53</v>
      </c>
      <c r="B10" s="4">
        <v>9</v>
      </c>
    </row>
    <row r="11" spans="1:11" x14ac:dyDescent="0.25">
      <c r="A11" s="3" t="s">
        <v>54</v>
      </c>
      <c r="B11" s="4">
        <v>22</v>
      </c>
    </row>
    <row r="12" spans="1:11" x14ac:dyDescent="0.25">
      <c r="A12" s="5" t="s">
        <v>55</v>
      </c>
      <c r="B12" s="4">
        <v>2</v>
      </c>
    </row>
    <row r="13" spans="1:11" x14ac:dyDescent="0.25">
      <c r="A13" s="5" t="s">
        <v>56</v>
      </c>
      <c r="B13" s="4">
        <v>1</v>
      </c>
    </row>
    <row r="14" spans="1:11" x14ac:dyDescent="0.25">
      <c r="A14" s="5" t="s">
        <v>57</v>
      </c>
      <c r="B14" s="4">
        <v>6</v>
      </c>
    </row>
    <row r="15" spans="1:11" x14ac:dyDescent="0.25">
      <c r="A15" s="5" t="s">
        <v>58</v>
      </c>
      <c r="B15" s="4">
        <v>8</v>
      </c>
    </row>
    <row r="16" spans="1:11" x14ac:dyDescent="0.25">
      <c r="A16" s="5" t="s">
        <v>59</v>
      </c>
      <c r="B16" s="4">
        <v>3</v>
      </c>
    </row>
    <row r="17" spans="1:2" x14ac:dyDescent="0.25">
      <c r="A17" s="5" t="s">
        <v>60</v>
      </c>
      <c r="B17" s="4">
        <v>2</v>
      </c>
    </row>
    <row r="18" spans="1:2" x14ac:dyDescent="0.25">
      <c r="A18" s="3" t="s">
        <v>22</v>
      </c>
      <c r="B18" s="4">
        <v>52</v>
      </c>
    </row>
    <row r="40" spans="1:11" x14ac:dyDescent="0.25">
      <c r="A40" s="2" t="s">
        <v>21</v>
      </c>
      <c r="B40" t="s">
        <v>65</v>
      </c>
      <c r="J40" s="2" t="s">
        <v>21</v>
      </c>
      <c r="K40" t="s">
        <v>66</v>
      </c>
    </row>
    <row r="41" spans="1:11" x14ac:dyDescent="0.25">
      <c r="A41" s="3" t="s">
        <v>6</v>
      </c>
      <c r="B41" s="4">
        <v>64.8</v>
      </c>
      <c r="J41" s="3" t="s">
        <v>6</v>
      </c>
      <c r="K41" s="7">
        <v>0.24035608308605341</v>
      </c>
    </row>
    <row r="42" spans="1:11" x14ac:dyDescent="0.25">
      <c r="A42" s="3" t="s">
        <v>11</v>
      </c>
      <c r="B42" s="4">
        <v>73</v>
      </c>
      <c r="J42" s="3" t="s">
        <v>11</v>
      </c>
      <c r="K42" s="7">
        <v>0.27077151335311572</v>
      </c>
    </row>
    <row r="43" spans="1:11" x14ac:dyDescent="0.25">
      <c r="A43" s="3" t="s">
        <v>12</v>
      </c>
      <c r="B43" s="4">
        <v>85.800000000000011</v>
      </c>
      <c r="J43" s="3" t="s">
        <v>12</v>
      </c>
      <c r="K43" s="7">
        <v>0.31824925816023741</v>
      </c>
    </row>
    <row r="44" spans="1:11" x14ac:dyDescent="0.25">
      <c r="A44" s="3" t="s">
        <v>9</v>
      </c>
      <c r="B44" s="4">
        <v>46</v>
      </c>
      <c r="J44" s="3" t="s">
        <v>9</v>
      </c>
      <c r="K44" s="7">
        <v>0.17062314540059348</v>
      </c>
    </row>
    <row r="45" spans="1:11" x14ac:dyDescent="0.25">
      <c r="A45" s="3" t="s">
        <v>22</v>
      </c>
      <c r="B45" s="4">
        <v>269.60000000000002</v>
      </c>
      <c r="J45" s="3" t="s">
        <v>22</v>
      </c>
      <c r="K45" s="7">
        <v>1</v>
      </c>
    </row>
    <row r="60" spans="1:17" x14ac:dyDescent="0.25">
      <c r="A60" s="2" t="s">
        <v>21</v>
      </c>
      <c r="B60" t="s">
        <v>67</v>
      </c>
      <c r="K60" s="2" t="s">
        <v>24</v>
      </c>
    </row>
    <row r="61" spans="1:17" x14ac:dyDescent="0.25">
      <c r="A61" s="3" t="s">
        <v>19</v>
      </c>
      <c r="B61" s="4">
        <v>12</v>
      </c>
      <c r="K61" t="s">
        <v>19</v>
      </c>
      <c r="M61" t="s">
        <v>68</v>
      </c>
      <c r="N61" t="s">
        <v>16</v>
      </c>
      <c r="P61" t="s">
        <v>69</v>
      </c>
      <c r="Q61" t="s">
        <v>22</v>
      </c>
    </row>
    <row r="62" spans="1:17" x14ac:dyDescent="0.25">
      <c r="A62" s="5" t="s">
        <v>17</v>
      </c>
      <c r="B62" s="4">
        <v>8</v>
      </c>
      <c r="K62" t="s">
        <v>17</v>
      </c>
      <c r="L62" t="s">
        <v>20</v>
      </c>
      <c r="N62" t="s">
        <v>17</v>
      </c>
      <c r="O62" t="s">
        <v>18</v>
      </c>
    </row>
    <row r="63" spans="1:17" x14ac:dyDescent="0.25">
      <c r="A63" s="5" t="s">
        <v>20</v>
      </c>
      <c r="B63" s="4">
        <v>4</v>
      </c>
      <c r="J63" t="s">
        <v>67</v>
      </c>
      <c r="K63" s="4">
        <v>8</v>
      </c>
      <c r="L63" s="4">
        <v>4</v>
      </c>
      <c r="M63" s="4">
        <v>12</v>
      </c>
      <c r="N63" s="4">
        <v>1</v>
      </c>
      <c r="O63" s="4">
        <v>2</v>
      </c>
      <c r="P63" s="4">
        <v>3</v>
      </c>
      <c r="Q63" s="4">
        <v>15</v>
      </c>
    </row>
    <row r="64" spans="1:17" x14ac:dyDescent="0.25">
      <c r="A64" s="3" t="s">
        <v>16</v>
      </c>
      <c r="B64" s="4">
        <v>3</v>
      </c>
    </row>
    <row r="65" spans="1:2" x14ac:dyDescent="0.25">
      <c r="A65" s="5" t="s">
        <v>17</v>
      </c>
      <c r="B65" s="4">
        <v>1</v>
      </c>
    </row>
    <row r="66" spans="1:2" x14ac:dyDescent="0.25">
      <c r="A66" s="5" t="s">
        <v>18</v>
      </c>
      <c r="B66" s="4">
        <v>2</v>
      </c>
    </row>
    <row r="67" spans="1:2" x14ac:dyDescent="0.25">
      <c r="A67" s="3" t="s">
        <v>22</v>
      </c>
      <c r="B67" s="4">
        <v>15</v>
      </c>
    </row>
    <row r="75" spans="1:2" x14ac:dyDescent="0.25">
      <c r="A75" s="2" t="s">
        <v>21</v>
      </c>
      <c r="B75" t="s">
        <v>67</v>
      </c>
    </row>
    <row r="76" spans="1:2" x14ac:dyDescent="0.25">
      <c r="A76" s="3" t="s">
        <v>19</v>
      </c>
      <c r="B76" s="4"/>
    </row>
    <row r="77" spans="1:2" x14ac:dyDescent="0.25">
      <c r="A77" s="5" t="s">
        <v>17</v>
      </c>
      <c r="B77" s="4">
        <v>8</v>
      </c>
    </row>
    <row r="78" spans="1:2" x14ac:dyDescent="0.25">
      <c r="A78" s="5" t="s">
        <v>20</v>
      </c>
      <c r="B78" s="4">
        <v>4</v>
      </c>
    </row>
    <row r="79" spans="1:2" x14ac:dyDescent="0.25">
      <c r="A79" s="3" t="s">
        <v>16</v>
      </c>
      <c r="B79" s="4"/>
    </row>
    <row r="80" spans="1:2" x14ac:dyDescent="0.25">
      <c r="A80" s="5" t="s">
        <v>17</v>
      </c>
      <c r="B80" s="4">
        <v>1</v>
      </c>
    </row>
    <row r="81" spans="1:2" x14ac:dyDescent="0.25">
      <c r="A81" s="5" t="s">
        <v>18</v>
      </c>
      <c r="B81" s="4">
        <v>2</v>
      </c>
    </row>
    <row r="82" spans="1:2" x14ac:dyDescent="0.25">
      <c r="A82" s="3" t="s">
        <v>22</v>
      </c>
      <c r="B82" s="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71B4-A268-4B40-A6AA-022771B664FF}">
  <dimension ref="A1:A147"/>
  <sheetViews>
    <sheetView tabSelected="1" workbookViewId="0"/>
  </sheetViews>
  <sheetFormatPr defaultRowHeight="15" x14ac:dyDescent="0.25"/>
  <sheetData>
    <row r="1" spans="1:1" x14ac:dyDescent="0.25">
      <c r="A1">
        <f>GETPIVOTDATA("Sales",'PT1'!$A$3)</f>
        <v>1348</v>
      </c>
    </row>
    <row r="2" spans="1:1" x14ac:dyDescent="0.25">
      <c r="A2">
        <f>GETPIVOTDATA("Sum of Sales",'PT1'!$A$3,"Region","East")</f>
        <v>324</v>
      </c>
    </row>
    <row r="3" spans="1:1" x14ac:dyDescent="0.25">
      <c r="A3">
        <f>GETPIVOTDATA("sales",'PT1'!$A$3,"region","east")</f>
        <v>324</v>
      </c>
    </row>
    <row r="4" spans="1:1" x14ac:dyDescent="0.25">
      <c r="A4" t="e">
        <f>GETPIVOTDATA("Sales",'PT1'!$A$3,"Region","Nope")</f>
        <v>#REF!</v>
      </c>
    </row>
    <row r="5" spans="1:1" x14ac:dyDescent="0.25">
      <c r="A5" t="e">
        <f>GETPIVOTDATA("Qty",'PT1'!$A$3)</f>
        <v>#REF!</v>
      </c>
    </row>
    <row r="6" spans="1:1" x14ac:dyDescent="0.25">
      <c r="A6">
        <f>GETPIVOTDATA("Sales",'PT1'!$B$5)</f>
        <v>1348</v>
      </c>
    </row>
    <row r="7" spans="1:1" x14ac:dyDescent="0.25">
      <c r="A7" t="e">
        <f>GETPIVOTDATA("Sales",'PT1'!$A$1)</f>
        <v>#REF!</v>
      </c>
    </row>
    <row r="8" spans="1:1" x14ac:dyDescent="0.25">
      <c r="A8">
        <f>GETPIVOTDATA("Sales",'PT1'!$A$3:$B$8,"Region","West")</f>
        <v>230</v>
      </c>
    </row>
    <row r="9" spans="1:1" x14ac:dyDescent="0.25">
      <c r="A9">
        <f>GETPIVOTDATA("Sales",'PT1'!$E$3,"Region","East","Product","Pen")</f>
        <v>54</v>
      </c>
    </row>
    <row r="10" spans="1:1" x14ac:dyDescent="0.25">
      <c r="A10" t="e">
        <f>GETPIVOTDATA("Sales",'PT1'!$E$3,"Product","Pen")</f>
        <v>#REF!</v>
      </c>
    </row>
    <row r="11" spans="1:1" x14ac:dyDescent="0.25">
      <c r="A11">
        <f>GETPIVOTDATA("Sales",'PT1'!$E$3,"Region","East")</f>
        <v>324</v>
      </c>
    </row>
    <row r="12" spans="1:1" x14ac:dyDescent="0.25">
      <c r="A12">
        <f>GETPIVOTDATA("Sales",'PT1'!$E$3,"Product","Pen","Region","East")</f>
        <v>54</v>
      </c>
    </row>
    <row r="13" spans="1:1" x14ac:dyDescent="0.25">
      <c r="A13">
        <f>GETPIVOTDATA("Sales",'PT1'!$J$3,"Year",2023)</f>
        <v>500</v>
      </c>
    </row>
    <row r="14" spans="1:1" x14ac:dyDescent="0.25">
      <c r="A14">
        <f>GETPIVOTDATA("Sales",'PT1'!$J$3,"Year","2023")</f>
        <v>500</v>
      </c>
    </row>
    <row r="15" spans="1:1" x14ac:dyDescent="0.25">
      <c r="A15">
        <f>GETPIVOTDATA("Sales",'PT1'!$J$3,"Region","East","Year",2024)</f>
        <v>244</v>
      </c>
    </row>
    <row r="16" spans="1:1" x14ac:dyDescent="0.25">
      <c r="A16">
        <f>GETPIVOTDATA("Sales",'PT1'!$J$3,"Region","East")</f>
        <v>324</v>
      </c>
    </row>
    <row r="17" spans="1:1" x14ac:dyDescent="0.25">
      <c r="A17">
        <f>GETPIVOTDATA("Sales",'PT1'!$J$3)</f>
        <v>1348</v>
      </c>
    </row>
    <row r="18" spans="1:1" x14ac:dyDescent="0.25">
      <c r="A18">
        <f>GETPIVOTDATA("Sales",'PT1'!$A$30,"Region","East","Year",2024)</f>
        <v>244</v>
      </c>
    </row>
    <row r="19" spans="1:1" x14ac:dyDescent="0.25">
      <c r="A19">
        <f>GETPIVOTDATA("Qty",'PT1'!$A$30,"Region","East","Year",2024)</f>
        <v>4</v>
      </c>
    </row>
    <row r="20" spans="1:1" x14ac:dyDescent="0.25">
      <c r="A20">
        <f>GETPIVOTDATA("Sum of Qty",'PT1'!$A$30,"Year",2023)</f>
        <v>30</v>
      </c>
    </row>
    <row r="21" spans="1:1" x14ac:dyDescent="0.25">
      <c r="A21">
        <f>GETPIVOTDATA("Qty",'PT1'!$A$30)</f>
        <v>52</v>
      </c>
    </row>
    <row r="22" spans="1:1" x14ac:dyDescent="0.25">
      <c r="A22">
        <f>GETPIVOTDATA("Sales",'PT1'!$J$30,"Region","East","Product","Ink")</f>
        <v>50</v>
      </c>
    </row>
    <row r="23" spans="1:1" x14ac:dyDescent="0.25">
      <c r="A23">
        <f>GETPIVOTDATA("Sales",'PT1'!$J$30,"Region","West")</f>
        <v>230</v>
      </c>
    </row>
    <row r="24" spans="1:1" x14ac:dyDescent="0.25">
      <c r="A24">
        <f>GETPIVOTDATA("Sales",'PT1'!$J$30)</f>
        <v>1348</v>
      </c>
    </row>
    <row r="25" spans="1:1" x14ac:dyDescent="0.25">
      <c r="A25">
        <f>GETPIVOTDATA("Sales",'PT1'!$A$62,"Product","Pen")</f>
        <v>173</v>
      </c>
    </row>
    <row r="26" spans="1:1" x14ac:dyDescent="0.25">
      <c r="A26">
        <f>GETPIVOTDATA("Sales",'PT1'!$A$62,"Year",2023)</f>
        <v>500</v>
      </c>
    </row>
    <row r="27" spans="1:1" x14ac:dyDescent="0.25">
      <c r="A27" t="e">
        <f>GETPIVOTDATA("Sales",'PT1'!$A$62,"Year",2024)</f>
        <v>#REF!</v>
      </c>
    </row>
    <row r="28" spans="1:1" x14ac:dyDescent="0.25">
      <c r="A28">
        <f>GETPIVOTDATA("Sales",'PT1'!$A$62,"Year",2023,"Product","Ink")</f>
        <v>127</v>
      </c>
    </row>
    <row r="29" spans="1:1" x14ac:dyDescent="0.25">
      <c r="A29">
        <f>GETPIVOTDATA("Sales",'PT1'!$A$62)</f>
        <v>500</v>
      </c>
    </row>
    <row r="30" spans="1:1" x14ac:dyDescent="0.25">
      <c r="A30">
        <f>GETPIVOTDATA("Sales",'PT1'!$J$62,"Region","East","Year",2023)</f>
        <v>80</v>
      </c>
    </row>
    <row r="31" spans="1:1" x14ac:dyDescent="0.25">
      <c r="A31" t="e">
        <f>GETPIVOTDATA("Sales",'PT1'!$J$62,"Region","East")</f>
        <v>#REF!</v>
      </c>
    </row>
    <row r="32" spans="1:1" x14ac:dyDescent="0.25">
      <c r="A32" t="e">
        <f>GETPIVOTDATA("Sales",'PT1'!$J$62)</f>
        <v>#REF!</v>
      </c>
    </row>
    <row r="33" spans="1:1" x14ac:dyDescent="0.25">
      <c r="A33">
        <f>GETPIVOTDATA("Sales",'PT1'!$A$80,"Region","North")</f>
        <v>365</v>
      </c>
    </row>
    <row r="34" spans="1:1" x14ac:dyDescent="0.25">
      <c r="A34">
        <f>GETPIVOTDATA("Count of Product",'PT1'!$A$80,"Region","North")</f>
        <v>3</v>
      </c>
    </row>
    <row r="35" spans="1:1" x14ac:dyDescent="0.25">
      <c r="A35">
        <f>GETPIVOTDATA("Product",'PT1'!$A$80)</f>
        <v>12</v>
      </c>
    </row>
    <row r="36" spans="1:1" x14ac:dyDescent="0.25">
      <c r="A36">
        <f>GETPIVOTDATA("Revenue",'PT1'!$J$80,"Region","Orient")</f>
        <v>324</v>
      </c>
    </row>
    <row r="37" spans="1:1" x14ac:dyDescent="0.25">
      <c r="A37">
        <f>GETPIVOTDATA("Revenue",'PT1'!$J$80,"Region","East")</f>
        <v>324</v>
      </c>
    </row>
    <row r="38" spans="1:1" x14ac:dyDescent="0.25">
      <c r="A38">
        <f>GETPIVOTDATA("Sales",'PT1'!$J$80)</f>
        <v>1348</v>
      </c>
    </row>
    <row r="39" spans="1:1" x14ac:dyDescent="0.25">
      <c r="A39" t="e">
        <f>GETPIVOTDATA("Sum of Sales",'PT1'!$J$80)</f>
        <v>#REF!</v>
      </c>
    </row>
    <row r="40" spans="1:1" x14ac:dyDescent="0.25">
      <c r="A40">
        <f>GETPIVOTDATA("Qty",'PT1'!$A$105,"Year",2024)</f>
        <v>22</v>
      </c>
    </row>
    <row r="41" spans="1:1" x14ac:dyDescent="0.25">
      <c r="A41">
        <f>GETPIVOTDATA("Qty",'PT1'!$A$105,"Year","2024")</f>
        <v>22</v>
      </c>
    </row>
    <row r="42" spans="1:1" x14ac:dyDescent="0.25">
      <c r="A42">
        <f>GETPIVOTDATA("Qty",'PT1'!$A$105,"Year",2024)</f>
        <v>22</v>
      </c>
    </row>
    <row r="43" spans="1:1" x14ac:dyDescent="0.25">
      <c r="A43" t="e">
        <f>GETPIVOTDATA("Qty",'PT1'!$A$105,"Year",TRUE)</f>
        <v>#REF!</v>
      </c>
    </row>
    <row r="44" spans="1:1" x14ac:dyDescent="0.25">
      <c r="A44">
        <f>GETPIVOTDATA("Sales",'PT2'!$A$3,"Product","Ink","Region","South")</f>
        <v>0</v>
      </c>
    </row>
    <row r="45" spans="1:1" x14ac:dyDescent="0.25">
      <c r="A45">
        <f>GETPIVOTDATA("Sales",'PT2'!$A$3,"Product","Ink","Region","East")</f>
        <v>50</v>
      </c>
    </row>
    <row r="46" spans="1:1" x14ac:dyDescent="0.25">
      <c r="A46">
        <f>GETPIVOTDATA("Sales",'PT2'!$A$3,"Region","South")</f>
        <v>429</v>
      </c>
    </row>
    <row r="47" spans="1:1" x14ac:dyDescent="0.25">
      <c r="A47">
        <f>GETPIVOTDATA("Sales",'PT2'!$J$3,"Region","East")</f>
        <v>324</v>
      </c>
    </row>
    <row r="48" spans="1:1" x14ac:dyDescent="0.25">
      <c r="A48">
        <f>GETPIVOTDATA("Sales",'PT2'!$J$3,"Region","East","Product","Pen")</f>
        <v>54</v>
      </c>
    </row>
    <row r="49" spans="1:1" x14ac:dyDescent="0.25">
      <c r="A49" t="e">
        <f>GETPIVOTDATA("Sales",'PT2'!$A$30,"Region","East")</f>
        <v>#REF!</v>
      </c>
    </row>
    <row r="50" spans="1:1" x14ac:dyDescent="0.25">
      <c r="A50">
        <f>GETPIVOTDATA("Sales",'PT2'!$A$30,"Region","East","Product","Ink")</f>
        <v>50</v>
      </c>
    </row>
    <row r="51" spans="1:1" x14ac:dyDescent="0.25">
      <c r="A51">
        <f>GETPIVOTDATA("Sales",'PT2'!$A$30)</f>
        <v>1348</v>
      </c>
    </row>
    <row r="52" spans="1:1" x14ac:dyDescent="0.25">
      <c r="A52" t="e">
        <f>GETPIVOTDATA("Sales",'PT2'!$J$32,"Year",2023)</f>
        <v>#REF!</v>
      </c>
    </row>
    <row r="53" spans="1:1" x14ac:dyDescent="0.25">
      <c r="A53">
        <f>GETPIVOTDATA("Sales",'PT2'!$J$32,"Product","Pen")</f>
        <v>285</v>
      </c>
    </row>
    <row r="54" spans="1:1" x14ac:dyDescent="0.25">
      <c r="A54">
        <f>GETPIVOTDATA("Sales",'PT2'!$J$30)</f>
        <v>1348</v>
      </c>
    </row>
    <row r="55" spans="1:1" x14ac:dyDescent="0.25">
      <c r="A55">
        <f>GETPIVOTDATA("Sales",'PT2'!$K$30)</f>
        <v>1348</v>
      </c>
    </row>
    <row r="56" spans="1:1" x14ac:dyDescent="0.25">
      <c r="A56">
        <f>GETPIVOTDATA("Sales",'PT2'!$J$31)</f>
        <v>1348</v>
      </c>
    </row>
    <row r="57" spans="1:1" x14ac:dyDescent="0.25">
      <c r="A57">
        <f>GETPIVOTDATA("Qty",'PT2'!$A$60,"Day",DATE(2023,1,15))</f>
        <v>3</v>
      </c>
    </row>
    <row r="58" spans="1:1" x14ac:dyDescent="0.25">
      <c r="A58">
        <f>GETPIVOTDATA("Qty",'PT2'!$A$60,"Day","1/15/2023")</f>
        <v>3</v>
      </c>
    </row>
    <row r="59" spans="1:1" x14ac:dyDescent="0.25">
      <c r="A59">
        <f>GETPIVOTDATA("Qty",'PT2'!$A$60,"Day",44941)</f>
        <v>3</v>
      </c>
    </row>
    <row r="60" spans="1:1" x14ac:dyDescent="0.25">
      <c r="A60" t="e">
        <f>GETPIVOTDATA("Qty",'PT2'!$A$60,"Day","2023-01-15")</f>
        <v>#REF!</v>
      </c>
    </row>
    <row r="61" spans="1:1" x14ac:dyDescent="0.25">
      <c r="A61">
        <f>GETPIVOTDATA("Qty",'PT2'!$A$60,"Day",DATE(2024,12,13))</f>
        <v>2</v>
      </c>
    </row>
    <row r="62" spans="1:1" x14ac:dyDescent="0.25">
      <c r="A62">
        <f>GETPIVOTDATA("Qty",'PT2'!$A$60)</f>
        <v>52</v>
      </c>
    </row>
    <row r="63" spans="1:1" x14ac:dyDescent="0.25">
      <c r="A63">
        <f>GETPIVOTDATA("Sales",'PT2'!$J$60,"Region","East")</f>
        <v>324</v>
      </c>
    </row>
    <row r="64" spans="1:1" x14ac:dyDescent="0.25">
      <c r="A64">
        <f>GETPIVOTDATA("Sum of Sales",'PT2'!$J$60,"Region","East")</f>
        <v>324</v>
      </c>
    </row>
    <row r="65" spans="1:1" x14ac:dyDescent="0.25">
      <c r="A65">
        <f>GETPIVOTDATA("Average of Sales",'PT2'!$J$60,"Region","East")</f>
        <v>81</v>
      </c>
    </row>
    <row r="66" spans="1:1" x14ac:dyDescent="0.25">
      <c r="A66">
        <f>GETPIVOTDATA("Sales",'PT2'!$A$95,"Area","East")</f>
        <v>324</v>
      </c>
    </row>
    <row r="67" spans="1:1" x14ac:dyDescent="0.25">
      <c r="A67" t="e">
        <f>GETPIVOTDATA("Sales",'PT2'!$A$95,"Region","East")</f>
        <v>#REF!</v>
      </c>
    </row>
    <row r="68" spans="1:1" x14ac:dyDescent="0.25">
      <c r="A68" t="e">
        <f>GETPIVOTDATA("Sales",'PT2'!$J$95,"Region","West")</f>
        <v>#REF!</v>
      </c>
    </row>
    <row r="69" spans="1:1" x14ac:dyDescent="0.25">
      <c r="A69">
        <f>GETPIVOTDATA("Sales",'PT2'!$J$95,"Region","East")</f>
        <v>324</v>
      </c>
    </row>
    <row r="70" spans="1:1" x14ac:dyDescent="0.25">
      <c r="A70">
        <f>GETPIVOTDATA("Sales",'PT2'!$J$95)</f>
        <v>1118</v>
      </c>
    </row>
    <row r="71" spans="1:1" x14ac:dyDescent="0.25">
      <c r="A71">
        <f>GETPIVOTDATA("Sales",'PT2'!$A$110,"Region","East","Product","Ink")</f>
        <v>50</v>
      </c>
    </row>
    <row r="72" spans="1:1" x14ac:dyDescent="0.25">
      <c r="A72">
        <f>GETPIVOTDATA("Qty",'PT2'!$A$110,"Region","East","Product","Ink")</f>
        <v>5</v>
      </c>
    </row>
    <row r="73" spans="1:1" x14ac:dyDescent="0.25">
      <c r="A73">
        <f>GETPIVOTDATA("Sales",'PT2'!$A$110,"Region","East")</f>
        <v>324</v>
      </c>
    </row>
    <row r="74" spans="1:1" x14ac:dyDescent="0.25">
      <c r="A74">
        <f>GETPIVOTDATA("Qty",'PT2'!$A$110,"Region","East")</f>
        <v>12</v>
      </c>
    </row>
    <row r="75" spans="1:1" x14ac:dyDescent="0.25">
      <c r="A75">
        <f>GETPIVOTDATA("Qty",'PT2'!$A$110)</f>
        <v>52</v>
      </c>
    </row>
    <row r="76" spans="1:1" x14ac:dyDescent="0.25">
      <c r="A76" t="e">
        <f>GETPIVOTDATA("Sales",'PT2'!$A$110,"Product","Ink")</f>
        <v>#REF!</v>
      </c>
    </row>
    <row r="77" spans="1:1" x14ac:dyDescent="0.25">
      <c r="A77" t="e">
        <f>GETPIVOTDATA("Sales",'PT2'!$A$3,"Product","Pen","Nope","x")</f>
        <v>#REF!</v>
      </c>
    </row>
    <row r="78" spans="1:1" x14ac:dyDescent="0.25">
      <c r="A78" t="e">
        <f>GETPIVOTDATA("Sales",'PT2'!$A$3,"Product")</f>
        <v>#REF!</v>
      </c>
    </row>
    <row r="79" spans="1:1" x14ac:dyDescent="0.25">
      <c r="A79" t="e">
        <f>GETPIVOTDATA("Sales",'PT2'!$A$3,"Day",DATE(2023,1,15))</f>
        <v>#REF!</v>
      </c>
    </row>
    <row r="80" spans="1:1" x14ac:dyDescent="0.25">
      <c r="A80">
        <f>GETPIVOTDATA("Sales",'PT2'!$A$3:$Z$120)</f>
        <v>1348</v>
      </c>
    </row>
    <row r="81" spans="1:1" x14ac:dyDescent="0.25">
      <c r="A81" t="e">
        <f>GETPIVOTDATA("Sales","PT2!A3")</f>
        <v>#REF!</v>
      </c>
    </row>
    <row r="82" spans="1:1" x14ac:dyDescent="0.25">
      <c r="A82" t="e">
        <f>GETPIVOTDATA(1,'PT2'!$A$3)</f>
        <v>#REF!</v>
      </c>
    </row>
    <row r="83" spans="1:1" x14ac:dyDescent="0.25">
      <c r="A83">
        <f>GETPIVOTDATA("Qty",'PT3'!$A$3,"Years (Day)",2023)</f>
        <v>30</v>
      </c>
    </row>
    <row r="84" spans="1:1" x14ac:dyDescent="0.25">
      <c r="A84">
        <f>GETPIVOTDATA("Qty",'PT3'!$A$3,"Years (Day)","2023")</f>
        <v>30</v>
      </c>
    </row>
    <row r="85" spans="1:1" x14ac:dyDescent="0.25">
      <c r="A85">
        <f>GETPIVOTDATA("Qty",'PT3'!$A$3,"years (day)",2024)</f>
        <v>22</v>
      </c>
    </row>
    <row r="86" spans="1:1" x14ac:dyDescent="0.25">
      <c r="A86" t="e">
        <f>GETPIVOTDATA("Qty",'PT3'!$A$3,"Years (Day)",DATE(2023,6,1))</f>
        <v>#REF!</v>
      </c>
    </row>
    <row r="87" spans="1:1" x14ac:dyDescent="0.25">
      <c r="A87">
        <f>GETPIVOTDATA("Qty",'PT3'!$A$3,"Years (Day)",2023.5)</f>
        <v>30</v>
      </c>
    </row>
    <row r="88" spans="1:1" x14ac:dyDescent="0.25">
      <c r="A88">
        <f>GETPIVOTDATA("Qty",'PT3'!$A$3,"Years (Day)",2024,"Months (Day)","Mar")</f>
        <v>2</v>
      </c>
    </row>
    <row r="89" spans="1:1" x14ac:dyDescent="0.25">
      <c r="A89">
        <f>GETPIVOTDATA("Qty",'PT3'!$A$3,"Years (Day)",2024,"Months (Day)","mar")</f>
        <v>2</v>
      </c>
    </row>
    <row r="90" spans="1:1" x14ac:dyDescent="0.25">
      <c r="A90">
        <f>GETPIVOTDATA("Qty",'PT3'!$A$3,"Years (Day)",2024,"Months (Day)",3)</f>
        <v>2</v>
      </c>
    </row>
    <row r="91" spans="1:1" x14ac:dyDescent="0.25">
      <c r="A91" t="e">
        <f>GETPIVOTDATA("Qty",'PT3'!$A$3,"Years (Day)",2024,"Months (Day)","March")</f>
        <v>#REF!</v>
      </c>
    </row>
    <row r="92" spans="1:1" x14ac:dyDescent="0.25">
      <c r="A92" t="e">
        <f>GETPIVOTDATA("Qty",'PT3'!$A$3,"Years (Day)",2024,"Months (Day)",DATE(2024,3,10))</f>
        <v>#REF!</v>
      </c>
    </row>
    <row r="93" spans="1:1" x14ac:dyDescent="0.25">
      <c r="A93">
        <f>GETPIVOTDATA("Qty",'PT3'!$A$3,"Months (Day)","Jan")</f>
        <v>3</v>
      </c>
    </row>
    <row r="94" spans="1:1" x14ac:dyDescent="0.25">
      <c r="A94" t="e">
        <f>GETPIVOTDATA("Qty",'PT3'!$A$3,"Day",DATE(2023,1,15))</f>
        <v>#REF!</v>
      </c>
    </row>
    <row r="95" spans="1:1" x14ac:dyDescent="0.25">
      <c r="A95">
        <f>GETPIVOTDATA("Qty",'PT3'!$A$3)</f>
        <v>52</v>
      </c>
    </row>
    <row r="96" spans="1:1" x14ac:dyDescent="0.25">
      <c r="A96">
        <f>GETPIVOTDATA("Qty",'PT3'!$J$3,"Sales","0-99")</f>
        <v>44</v>
      </c>
    </row>
    <row r="97" spans="1:1" x14ac:dyDescent="0.25">
      <c r="A97">
        <f>GETPIVOTDATA("Qty",'PT3'!$J$3,"Sales",0)</f>
        <v>44</v>
      </c>
    </row>
    <row r="98" spans="1:1" x14ac:dyDescent="0.25">
      <c r="A98" t="e">
        <f>GETPIVOTDATA("Qty",'PT3'!$J$3,"Sales",50)</f>
        <v>#REF!</v>
      </c>
    </row>
    <row r="99" spans="1:1" x14ac:dyDescent="0.25">
      <c r="A99" t="e">
        <f>GETPIVOTDATA("Qty",'PT3'!$J$3,"Sales",99)</f>
        <v>#REF!</v>
      </c>
    </row>
    <row r="100" spans="1:1" x14ac:dyDescent="0.25">
      <c r="A100" t="e">
        <f>GETPIVOTDATA("Qty",'PT3'!$J$3,"Sales",99.5)</f>
        <v>#REF!</v>
      </c>
    </row>
    <row r="101" spans="1:1" x14ac:dyDescent="0.25">
      <c r="A101">
        <f>GETPIVOTDATA("Qty",'PT3'!$J$3,"Sales",100)</f>
        <v>1</v>
      </c>
    </row>
    <row r="102" spans="1:1" x14ac:dyDescent="0.25">
      <c r="A102" t="e">
        <f>GETPIVOTDATA("Qty",'PT3'!$J$3,"Sales",150)</f>
        <v>#REF!</v>
      </c>
    </row>
    <row r="103" spans="1:1" x14ac:dyDescent="0.25">
      <c r="A103" t="e">
        <f>GETPIVOTDATA("Qty",'PT3'!$J$3,"Sales",350)</f>
        <v>#REF!</v>
      </c>
    </row>
    <row r="104" spans="1:1" x14ac:dyDescent="0.25">
      <c r="A104" t="e">
        <f>GETPIVOTDATA("Qty",'PT3'!$J$3,"Sales",399)</f>
        <v>#REF!</v>
      </c>
    </row>
    <row r="105" spans="1:1" x14ac:dyDescent="0.25">
      <c r="A105" t="e">
        <f>GETPIVOTDATA("Qty",'PT3'!$J$3,"Sales",400)</f>
        <v>#REF!</v>
      </c>
    </row>
    <row r="106" spans="1:1" x14ac:dyDescent="0.25">
      <c r="A106">
        <f>GETPIVOTDATA("Qty",'PT3'!$J$3,"Sales",-5)</f>
        <v>44</v>
      </c>
    </row>
    <row r="107" spans="1:1" x14ac:dyDescent="0.25">
      <c r="A107" t="e">
        <f>GETPIVOTDATA("Qty",'PT3'!$J$3,"Sales","0")</f>
        <v>#REF!</v>
      </c>
    </row>
    <row r="108" spans="1:1" x14ac:dyDescent="0.25">
      <c r="A108" t="e">
        <f>GETPIVOTDATA("Qty",'PT3'!$J$3,"Sales",TRUE)</f>
        <v>#REF!</v>
      </c>
    </row>
    <row r="109" spans="1:1" x14ac:dyDescent="0.25">
      <c r="A109">
        <f>GETPIVOTDATA("Profit",'PT3'!$A$40,"Region","East")</f>
        <v>64.8</v>
      </c>
    </row>
    <row r="110" spans="1:1" x14ac:dyDescent="0.25">
      <c r="A110">
        <f>GETPIVOTDATA("Share",'PT3'!$J$40,"Region","East")</f>
        <v>0.24035608308605341</v>
      </c>
    </row>
    <row r="111" spans="1:1" x14ac:dyDescent="0.25">
      <c r="A111">
        <f>GETPIVOTDATA("Score",'PT3'!$A$60,"Person","Bob")</f>
        <v>2</v>
      </c>
    </row>
    <row r="112" spans="1:1" x14ac:dyDescent="0.25">
      <c r="A112" t="e">
        <f>GETPIVOTDATA("Score",'PT3'!$A$60,"Person","Ann")</f>
        <v>#REF!</v>
      </c>
    </row>
    <row r="113" spans="1:1" x14ac:dyDescent="0.25">
      <c r="A113">
        <f>GETPIVOTDATA("Score",'PT3'!$A$60,"Person","Cat")</f>
        <v>4</v>
      </c>
    </row>
    <row r="114" spans="1:1" x14ac:dyDescent="0.25">
      <c r="A114">
        <f>GETPIVOTDATA("Score",'PT3'!$A$60,"Team","Red")</f>
        <v>3</v>
      </c>
    </row>
    <row r="115" spans="1:1" x14ac:dyDescent="0.25">
      <c r="A115">
        <f>GETPIVOTDATA("Score",'PT3'!$A$60,"Team","Red","Person","Ann")</f>
        <v>1</v>
      </c>
    </row>
    <row r="116" spans="1:1" x14ac:dyDescent="0.25">
      <c r="A116">
        <f>GETPIVOTDATA("Score",'PT3'!$J$60,"Person","Bob")</f>
        <v>2</v>
      </c>
    </row>
    <row r="117" spans="1:1" x14ac:dyDescent="0.25">
      <c r="A117" t="e">
        <f>GETPIVOTDATA("Score",'PT3'!$J$60,"Person","Ann")</f>
        <v>#REF!</v>
      </c>
    </row>
    <row r="118" spans="1:1" x14ac:dyDescent="0.25">
      <c r="A118">
        <f>GETPIVOTDATA("Score",'PT3'!$J$60,"Team","Blue")</f>
        <v>12</v>
      </c>
    </row>
    <row r="119" spans="1:1" x14ac:dyDescent="0.25">
      <c r="A119">
        <f>GETPIVOTDATA("Score",'PT3'!$J$60)</f>
        <v>15</v>
      </c>
    </row>
    <row r="120" spans="1:1" x14ac:dyDescent="0.25">
      <c r="A120">
        <f>GETPIVOTDATA("Score",'PT3'!$A$75,"Person","Bob")</f>
        <v>2</v>
      </c>
    </row>
    <row r="121" spans="1:1" x14ac:dyDescent="0.25">
      <c r="A121" t="e">
        <f>GETPIVOTDATA("Score",'PT3'!$A$75,"Team","Red")</f>
        <v>#REF!</v>
      </c>
    </row>
    <row r="122" spans="1:1" x14ac:dyDescent="0.25">
      <c r="A122">
        <f>GETPIVOTDATA("Score",'PT3'!$A$75,"Team","Red","Person","Bob")</f>
        <v>2</v>
      </c>
    </row>
    <row r="123" spans="1:1" x14ac:dyDescent="0.25">
      <c r="A123">
        <f>GETPIVOTDATA("Score",'PT3'!$A$75)</f>
        <v>15</v>
      </c>
    </row>
    <row r="124" spans="1:1" x14ac:dyDescent="0.25">
      <c r="A124">
        <f>GETPIVOTDATA("Qty",'PT3'!$A$3,"Months (Day)","Feb")</f>
        <v>5</v>
      </c>
    </row>
    <row r="125" spans="1:1" x14ac:dyDescent="0.25">
      <c r="A125">
        <f>GETPIVOTDATA("Qty",'PT3'!$A$3,"Months (Day)",2)</f>
        <v>5</v>
      </c>
    </row>
    <row r="126" spans="1:1" x14ac:dyDescent="0.25">
      <c r="A126">
        <f>GETPIVOTDATA("Qty",'PT3'!$A$3,"Years (Day)",2023,"Months (Day)",1)</f>
        <v>3</v>
      </c>
    </row>
    <row r="127" spans="1:1" x14ac:dyDescent="0.25">
      <c r="A127">
        <f>GETPIVOTDATA("Qty",'PT3'!$A$3,"Years (Day)",2024,"Months (Day)",3.5)</f>
        <v>2</v>
      </c>
    </row>
    <row r="128" spans="1:1" x14ac:dyDescent="0.25">
      <c r="A128">
        <f>GETPIVOTDATA("Qty",'PT3'!$A$3,"Years (Day)",2024,"Months (Day)",12)</f>
        <v>2</v>
      </c>
    </row>
    <row r="129" spans="1:1" x14ac:dyDescent="0.25">
      <c r="A129" t="e">
        <f>GETPIVOTDATA("Qty",'PT3'!$A$3,"Years (Day)",2024,"Months (Day)",13)</f>
        <v>#REF!</v>
      </c>
    </row>
    <row r="130" spans="1:1" x14ac:dyDescent="0.25">
      <c r="A130" t="e">
        <f>GETPIVOTDATA("Qty",'PT3'!$A$3,"Years (Day)",2024,"Months (Day)",0)</f>
        <v>#REF!</v>
      </c>
    </row>
    <row r="131" spans="1:1" x14ac:dyDescent="0.25">
      <c r="A131" t="e">
        <f>GETPIVOTDATA("Qty",'PT3'!$A$3,"Years (Day)",2022)</f>
        <v>#REF!</v>
      </c>
    </row>
    <row r="132" spans="1:1" x14ac:dyDescent="0.25">
      <c r="A132">
        <f>GETPIVOTDATA("Qty",'PT3'!$A$3,"Years (Day)",2024.9)</f>
        <v>22</v>
      </c>
    </row>
    <row r="133" spans="1:1" x14ac:dyDescent="0.25">
      <c r="A133" t="e">
        <f>GETPIVOTDATA("Qty",'PT3'!$A$3,"Years (Day)",2025)</f>
        <v>#REF!</v>
      </c>
    </row>
    <row r="134" spans="1:1" x14ac:dyDescent="0.25">
      <c r="A134" t="e">
        <f>GETPIVOTDATA("Qty",'PT3'!$A$3,"Years (Day)",-2023)</f>
        <v>#REF!</v>
      </c>
    </row>
    <row r="135" spans="1:1" x14ac:dyDescent="0.25">
      <c r="A135">
        <f>GETPIVOTDATA("Qty",'PT3'!$J$3,"Sales",-1)</f>
        <v>44</v>
      </c>
    </row>
    <row r="136" spans="1:1" x14ac:dyDescent="0.25">
      <c r="A136">
        <f>GETPIVOTDATA("Qty",'PT3'!$J$3,"Sales",-50)</f>
        <v>44</v>
      </c>
    </row>
    <row r="137" spans="1:1" x14ac:dyDescent="0.25">
      <c r="A137">
        <f>GETPIVOTDATA("Qty",'PT3'!$J$3,"Sales",-99)</f>
        <v>44</v>
      </c>
    </row>
    <row r="138" spans="1:1" x14ac:dyDescent="0.25">
      <c r="A138" t="e">
        <f>GETPIVOTDATA("Qty",'PT3'!$J$3,"Sales",-100)</f>
        <v>#REF!</v>
      </c>
    </row>
    <row r="139" spans="1:1" x14ac:dyDescent="0.25">
      <c r="A139" t="e">
        <f>GETPIVOTDATA("Qty",'PT3'!$J$3,"Sales",-150)</f>
        <v>#REF!</v>
      </c>
    </row>
    <row r="140" spans="1:1" x14ac:dyDescent="0.25">
      <c r="A140" t="e">
        <f>GETPIVOTDATA("Qty",'PT3'!$J$3,"Sales",0.5)</f>
        <v>#REF!</v>
      </c>
    </row>
    <row r="141" spans="1:1" x14ac:dyDescent="0.25">
      <c r="A141" t="e">
        <f>GETPIVOTDATA("Qty",'PT3'!$J$3,"Sales",1)</f>
        <v>#REF!</v>
      </c>
    </row>
    <row r="142" spans="1:1" x14ac:dyDescent="0.25">
      <c r="A142" t="e">
        <f>GETPIVOTDATA("Qty",'PT3'!$J$3,"Sales",10)</f>
        <v>#REF!</v>
      </c>
    </row>
    <row r="143" spans="1:1" x14ac:dyDescent="0.25">
      <c r="A143" t="e">
        <f>GETPIVOTDATA("Qty",'PT3'!$J$3,"Sales",100.5)</f>
        <v>#REF!</v>
      </c>
    </row>
    <row r="144" spans="1:1" x14ac:dyDescent="0.25">
      <c r="A144">
        <f>GETPIVOTDATA("Qty",'PT3'!$J$3,"Sales",200)</f>
        <v>4</v>
      </c>
    </row>
    <row r="145" spans="1:1" x14ac:dyDescent="0.25">
      <c r="A145" t="e">
        <f>GETPIVOTDATA("Qty",'PT3'!$J$3,"Sales",250)</f>
        <v>#REF!</v>
      </c>
    </row>
    <row r="146" spans="1:1" x14ac:dyDescent="0.25">
      <c r="A146">
        <f>GETPIVOTDATA("Qty",'PT3'!$J$3,"Sales",300)</f>
        <v>3</v>
      </c>
    </row>
    <row r="147" spans="1:1" x14ac:dyDescent="0.25">
      <c r="A147">
        <f>GETPIVOTDATA("Qty",'PT3'!$J$3,"Sales",-0.5)</f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PT1</vt:lpstr>
      <vt:lpstr>PT2</vt:lpstr>
      <vt:lpstr>PT3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2026-09-26T03:03:00Z</dcterms:created>
  <dcterms:modified xsi:type="dcterms:W3CDTF">2026-09-26T03:03:00Z</dcterms:modified>
</cp:coreProperties>
</file>
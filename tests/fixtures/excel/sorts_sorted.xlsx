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31846231-ADA8-4ACD-82E0-41442DD1BDA5}" xr6:coauthVersionLast="47" xr6:coauthVersionMax="47" xr10:uidLastSave="{00000000-0000-0000-0000-000000000000}"/>
  <bookViews>
    <workbookView xWindow="-110" yWindow="-110" windowWidth="51420" windowHeight="21100" xr2:uid="{262E2A39-EE50-4708-89AF-7AF7ED5DB406}"/>
  </bookViews>
  <sheets>
    <sheet name="Values" sheetId="1" r:id="rId1"/>
    <sheet name="Down" sheetId="2" r:id="rId2"/>
    <sheet name="Case" sheetId="3" r:id="rId3"/>
    <sheet name="CaseDown" sheetId="4" r:id="rId4"/>
    <sheet name="Words" sheetId="5" r:id="rId5"/>
    <sheet name="Keys" sheetId="6" r:id="rId6"/>
    <sheet name="Moves" sheetId="7" r:id="rId7"/>
    <sheet name="Inner" sheetId="8" r:id="rId8"/>
    <sheet name="NoHeader" sheetId="9" r:id="rId9"/>
    <sheet name="Hidden" sheetId="10" r:id="rId10"/>
    <sheet name="Filtered" sheetId="11" r:id="rId11"/>
    <sheet name="Blanks" sheetId="12" r:id="rId12"/>
    <sheet name="Trim" sheetId="13" r:id="rId13"/>
    <sheet name="Shared" sheetId="14" r:id="rId14"/>
    <sheet name="Merged" sheetId="15" r:id="rId15"/>
    <sheet name="Array" sheetId="16" r:id="rId16"/>
    <sheet name="ArrayRow" sheetId="17" r:id="rId17"/>
    <sheet name="Spill" sheetId="18" r:id="rId18"/>
    <sheet name="Kinds" sheetId="19" r:id="rId19"/>
    <sheet name="Table" sheetId="20" r:id="rId20"/>
    <sheet name="TableKeys" sheetId="21" r:id="rId21"/>
    <sheet name="TableFiltered" sheetId="22" r:id="rId22"/>
    <sheet name="TableHeadless" sheetId="23" r:id="rId23"/>
    <sheet name="TableRange" sheetId="24" r:id="rId24"/>
    <sheet name="Filter" sheetId="25" r:id="rId25"/>
  </sheets>
  <definedNames>
    <definedName name="_xlnm._FilterDatabase" localSheetId="24" hidden="1">Filter!$A$1:$C$7</definedName>
    <definedName name="_xlnm._FilterDatabase" localSheetId="10" hidden="1">Filtered!$A$1:$C$7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20" l="1"/>
  <c r="B8" i="20"/>
  <c r="D5" i="20"/>
  <c r="D7" i="20"/>
  <c r="D3" i="20"/>
  <c r="D6" i="20"/>
  <c r="D4" i="20"/>
  <c r="D2" i="20"/>
  <c r="D8" i="20" s="1"/>
  <c r="B9" i="19"/>
  <c r="D2" i="18" a="1"/>
  <c r="C6" i="17" a="1"/>
  <c r="D3" i="16" a="1"/>
  <c r="E2" i="14"/>
  <c r="E3" i="14"/>
  <c r="E4" i="14"/>
  <c r="E5" i="14"/>
  <c r="E6" i="14"/>
  <c r="D4" i="14"/>
  <c r="D2" i="14"/>
  <c r="D6" i="14"/>
  <c r="D3" i="14"/>
  <c r="D5" i="14"/>
  <c r="D7" i="14"/>
  <c r="D8" i="14"/>
  <c r="D9" i="14"/>
  <c r="C4" i="14"/>
  <c r="C2" i="14"/>
  <c r="C6" i="14"/>
  <c r="C3" i="14"/>
  <c r="C5" i="14"/>
  <c r="B6" i="12"/>
  <c r="D2" i="8"/>
  <c r="D3" i="8"/>
  <c r="D4" i="8"/>
  <c r="D5" i="8"/>
  <c r="D6" i="8"/>
  <c r="D7" i="8"/>
  <c r="F3" i="7"/>
  <c r="F2" i="7"/>
  <c r="D5" i="7"/>
  <c r="C5" i="7"/>
  <c r="D3" i="7"/>
  <c r="C3" i="7"/>
  <c r="A9" i="7" s="1"/>
  <c r="D6" i="7"/>
  <c r="C6" i="7"/>
  <c r="D2" i="7"/>
  <c r="C2" i="7"/>
  <c r="A10" i="7" s="1"/>
  <c r="D4" i="7"/>
  <c r="C4" i="7"/>
  <c r="B39" i="2"/>
  <c r="B12" i="2"/>
  <c r="B33" i="2"/>
  <c r="B3" i="2"/>
  <c r="B2" i="2"/>
  <c r="B6" i="1"/>
  <c r="B34" i="1"/>
  <c r="B11" i="1"/>
  <c r="B36" i="1"/>
  <c r="B35" i="1"/>
  <c r="C6" i="17" l="1"/>
  <c r="D6" i="17"/>
  <c r="D4" i="16"/>
  <c r="D3" i="16"/>
  <c r="G3" i="7"/>
  <c r="F5" i="7"/>
  <c r="F6" i="7"/>
  <c r="B2" i="24"/>
  <c r="C2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46CA2372-732B-4D7B-83B1-9B5444E277A9}">
      <text>
        <r>
          <rPr>
            <sz val="9"/>
            <color indexed="81"/>
            <rFont val="Tahoma"/>
            <charset val="1"/>
          </rPr>
          <t>note on C3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7" authorId="0" shapeId="0" xr:uid="{1713C157-7BED-4BBD-9456-11D901197607}">
      <text>
        <r>
          <rPr>
            <sz val="9"/>
            <color indexed="81"/>
            <rFont val="Tahoma"/>
            <charset val="1"/>
          </rPr>
          <t>note on C3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<sst xmlns="http://schemas.openxmlformats.org/spreadsheetml/2006/main" count="382" uniqueCount="107">
  <si>
    <t>i</t>
  </si>
  <si>
    <t>v</t>
  </si>
  <si>
    <t>text</t>
  </si>
  <si>
    <t>10</t>
  </si>
  <si>
    <t>2</t>
  </si>
  <si>
    <t xml:space="preserve"> </t>
  </si>
  <si>
    <t>a</t>
  </si>
  <si>
    <t>B</t>
  </si>
  <si>
    <t>b</t>
  </si>
  <si>
    <t>A</t>
  </si>
  <si>
    <t>apple</t>
  </si>
  <si>
    <t>Apple</t>
  </si>
  <si>
    <t>eclair</t>
  </si>
  <si>
    <t>zebra</t>
  </si>
  <si>
    <t>-</t>
  </si>
  <si>
    <t>!</t>
  </si>
  <si>
    <t>5</t>
  </si>
  <si>
    <t>TRUE</t>
  </si>
  <si>
    <t>#N/A</t>
  </si>
  <si>
    <t/>
  </si>
  <si>
    <t>w</t>
  </si>
  <si>
    <t>aB</t>
  </si>
  <si>
    <t>Ab</t>
  </si>
  <si>
    <t>ab</t>
  </si>
  <si>
    <t>AB</t>
  </si>
  <si>
    <t>a-b</t>
  </si>
  <si>
    <t>A-b</t>
  </si>
  <si>
    <t>a-B</t>
  </si>
  <si>
    <t>resume</t>
  </si>
  <si>
    <t>Resume</t>
  </si>
  <si>
    <t>résumé</t>
  </si>
  <si>
    <t>Résumé</t>
  </si>
  <si>
    <t>RESUME</t>
  </si>
  <si>
    <t>résume</t>
  </si>
  <si>
    <t>coop</t>
  </si>
  <si>
    <t>co-op</t>
  </si>
  <si>
    <t>Coop</t>
  </si>
  <si>
    <t>Co-op</t>
  </si>
  <si>
    <t>bb</t>
  </si>
  <si>
    <t>Bb</t>
  </si>
  <si>
    <t>bB</t>
  </si>
  <si>
    <t>BB</t>
  </si>
  <si>
    <t>á</t>
  </si>
  <si>
    <t>Á</t>
  </si>
  <si>
    <t>ä</t>
  </si>
  <si>
    <t>Ä</t>
  </si>
  <si>
    <t>straße</t>
  </si>
  <si>
    <t>Strasse</t>
  </si>
  <si>
    <t>STRASSE</t>
  </si>
  <si>
    <t>strasse</t>
  </si>
  <si>
    <t>x1</t>
  </si>
  <si>
    <t>X1</t>
  </si>
  <si>
    <t>x10</t>
  </si>
  <si>
    <t>X2</t>
  </si>
  <si>
    <t>ǅ</t>
  </si>
  <si>
    <t>ǆ</t>
  </si>
  <si>
    <t>Ǆ</t>
  </si>
  <si>
    <t>ﬁ</t>
  </si>
  <si>
    <t>fi</t>
  </si>
  <si>
    <t>FI</t>
  </si>
  <si>
    <t>１</t>
  </si>
  <si>
    <t>1</t>
  </si>
  <si>
    <t>²</t>
  </si>
  <si>
    <t>a​b</t>
  </si>
  <si>
    <t>ς</t>
  </si>
  <si>
    <t>Σ</t>
  </si>
  <si>
    <t>σ</t>
  </si>
  <si>
    <t>k</t>
  </si>
  <si>
    <t>x</t>
  </si>
  <si>
    <t>y</t>
  </si>
  <si>
    <t>z</t>
  </si>
  <si>
    <t>n</t>
  </si>
  <si>
    <t>same</t>
  </si>
  <si>
    <t>other</t>
  </si>
  <si>
    <t>fmt</t>
  </si>
  <si>
    <t>rows</t>
  </si>
  <si>
    <t>flip</t>
  </si>
  <si>
    <t>h2</t>
  </si>
  <si>
    <t>h3</t>
  </si>
  <si>
    <t>h4</t>
  </si>
  <si>
    <t>h5</t>
  </si>
  <si>
    <t>h6</t>
  </si>
  <si>
    <t>c</t>
  </si>
  <si>
    <t>c0</t>
  </si>
  <si>
    <t>c1</t>
  </si>
  <si>
    <t>c2</t>
  </si>
  <si>
    <t>c3</t>
  </si>
  <si>
    <t>c4</t>
  </si>
  <si>
    <t>c5</t>
  </si>
  <si>
    <t>c6</t>
  </si>
  <si>
    <t>c7</t>
  </si>
  <si>
    <t>c9</t>
  </si>
  <si>
    <t>d2</t>
  </si>
  <si>
    <t>d3</t>
  </si>
  <si>
    <t>d4</t>
  </si>
  <si>
    <t>d5</t>
  </si>
  <si>
    <t>d6</t>
  </si>
  <si>
    <t>f8</t>
  </si>
  <si>
    <t>9</t>
  </si>
  <si>
    <t>d</t>
  </si>
  <si>
    <t>e</t>
  </si>
  <si>
    <t>f</t>
  </si>
  <si>
    <t>g</t>
  </si>
  <si>
    <t>h</t>
  </si>
  <si>
    <t>j</t>
  </si>
  <si>
    <t>calc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</si>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</sst>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00000"/>
        <bgColor indexed="64"/>
      </patternFill>
    </fill>
    <fill>
      <patternFill patternType="solid">
        <fgColor rgb="FF780000"/>
        <bgColor indexed="64"/>
      </patternFill>
    </fill>
    <fill>
      <patternFill patternType="solid">
        <fgColor rgb="FFA00000"/>
        <bgColor indexed="64"/>
      </patternFill>
    </fill>
    <fill>
      <patternFill patternType="solid">
        <fgColor rgb="FFC80000"/>
        <bgColor indexed="64"/>
      </patternFill>
    </fill>
    <fill>
      <patternFill patternType="solid">
        <fgColor rgb="FFF00000"/>
        <bgColor indexed="64"/>
      </patternFill>
    </fill>
    <fill>
      <patternFill patternType="solid">
        <fgColor rgb="FFC8C8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quotePrefix="1"/>
    <xf numFmtId="11" fontId="0" fillId="0" borderId="0" xfId="0" applyNumberFormat="1"/>
    <xf numFmtId="49" fontId="0" fillId="0" borderId="0" xfId="0" applyNumberFormat="1"/>
    <xf numFmtId="164" fontId="0" fillId="2" borderId="0" xfId="0" applyNumberFormat="1" applyFill="1"/>
    <xf numFmtId="2" fontId="0" fillId="3" borderId="0" xfId="0" applyNumberFormat="1" applyFill="1"/>
    <xf numFmtId="9" fontId="0" fillId="4" borderId="0" xfId="0" applyNumberFormat="1" applyFill="1"/>
    <xf numFmtId="49" fontId="0" fillId="5" borderId="0" xfId="0" applyNumberFormat="1" applyFill="1"/>
    <xf numFmtId="165" fontId="0" fillId="6" borderId="0" xfId="0" applyNumberFormat="1" applyFill="1"/>
    <xf numFmtId="0" fontId="2" fillId="0" borderId="0" xfId="1"/>
    <xf numFmtId="0" fontId="0" fillId="7" borderId="0" xfId="0" applyFill="1"/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2F03E-355E-4D9E-A749-1969D6620A65}" name="Sales" displayName="Sales" ref="A1:D8" totalsRowCount="1">
  <autoFilter ref="A1:D7" xr:uid="{FC82F03E-355E-4D9E-A749-1969D6620A65}"/>
  <sortState xmlns:xlrd2="http://schemas.microsoft.com/office/spreadsheetml/2017/richdata2" ref="A2:D7">
    <sortCondition descending="1" ref="B2:B7"/>
  </sortState>
  <tableColumns count="4">
    <tableColumn id="1" xr3:uid="{81F57500-8760-4A27-86FE-BB07B42CEFE8}" name="i" totalsRowLabel="Total"/>
    <tableColumn id="2" xr3:uid="{0BFCDA98-6E90-4612-AAC4-BF4848890D3F}" name="k" totalsRowFunction="sum"/>
    <tableColumn id="3" xr3:uid="{7FA42CB2-23F8-4BD5-B4FF-864388D9259E}" name="c"/>
    <tableColumn id="4" xr3:uid="{DAC19856-693E-4791-8622-4332B0847360}" name="calc" totalsRowFunction="sum">
      <calculatedColumnFormula>Sales[[#This Row],[k]]*2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8F1840-AF47-40A1-A91C-D5CBE2A076FF}" name="Grid" displayName="Grid" ref="C3:E8" totalsRowShown="0">
  <autoFilter ref="C3:E8" xr:uid="{EE8F1840-AF47-40A1-A91C-D5CBE2A076FF}"/>
  <sortState xmlns:xlrd2="http://schemas.microsoft.com/office/spreadsheetml/2017/richdata2" caseSensitive="1" ref="C4:E8">
    <sortCondition ref="D4:D8"/>
    <sortCondition descending="1" ref="E4:E8"/>
  </sortState>
  <tableColumns count="3">
    <tableColumn id="1" xr3:uid="{D5D19F4E-722C-4349-B57E-4B2764CE409A}" name="i"/>
    <tableColumn id="2" xr3:uid="{48EE4C43-2807-4DE2-9C87-A8E3FBAEC33A}" name="k"/>
    <tableColumn id="3" xr3:uid="{9C919877-828E-4798-ADFB-4A1276FD2CEA}" name="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50CAF6-0C55-4B91-B64F-2342ECCB3208}" name="Seen" displayName="Seen" ref="A1:C7" totalsRowShown="0">
  <autoFilter ref="A1:C7" xr:uid="{AE50CAF6-0C55-4B91-B64F-2342ECCB3208}">
    <filterColumn colId="1">
      <customFilters>
        <customFilter operator="greaterThan" val="25"/>
      </customFilters>
    </filterColumn>
  </autoFilter>
  <sortState xmlns:xlrd2="http://schemas.microsoft.com/office/spreadsheetml/2017/richdata2" ref="A2:C7">
    <sortCondition descending="1" ref="B2:B7"/>
  </sortState>
  <tableColumns count="3">
    <tableColumn id="1" xr3:uid="{27A84B9F-A5FE-4C3E-BF9A-B9A0FAAECE1E}" name="i"/>
    <tableColumn id="2" xr3:uid="{5D8784A7-7764-4CD6-9379-37F7DD01AC88}" name="k"/>
    <tableColumn id="3" xr3:uid="{873B0B38-EDA6-4B83-8A39-9E152BC2FBE4}" name="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EA760B-A45F-40BC-AF84-836485C11D1D}" name="Bare" displayName="Bare" ref="A2:C7" headerRowCount="0" totalsRowShown="0">
  <sortState xmlns:xlrd2="http://schemas.microsoft.com/office/spreadsheetml/2017/richdata2" ref="A2:C7">
    <sortCondition ref="B2:B7"/>
  </sortState>
  <tableColumns count="3">
    <tableColumn id="1" xr3:uid="{321A6FC0-BB4E-4165-B778-AA7D6D183440}" name="i"/>
    <tableColumn id="2" xr3:uid="{FE29F7CA-A48A-4C18-AB87-57EF45686EBD}" name="k"/>
    <tableColumn id="3" xr3:uid="{6E2CCEA2-3F80-433E-9DDF-9AE8591B7AE3}" name="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AC88BC-7063-493E-B432-0A414334C44D}" name="Whole" displayName="Whole" ref="A1:C8" totalsRowCount="1">
  <autoFilter ref="A1:C7" xr:uid="{F9AC88BC-7063-493E-B432-0A414334C44D}"/>
  <tableColumns count="3">
    <tableColumn id="1" xr3:uid="{E5B6B6CD-360A-4FB3-B1E5-457B58FCC497}" name="i" totalsRowLabel="Total"/>
    <tableColumn id="2" xr3:uid="{0D290711-F4AC-4FBD-ABA1-660864B65C34}" name="k" totalsRowFunction="sum"/>
    <tableColumn id="3" xr3:uid="{405B8BA1-3EFC-4138-BD58-F03752BD6CD8}" name="c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a4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58AC-5CBC-4C32-8242-D76A4CF992AA}">
  <sheetPr codeName="Sheet1"/>
  <dimension ref="A1:B4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32</v>
      </c>
      <c r="B2" s="2">
        <v>-1.0000000000000001E+300</v>
      </c>
    </row>
    <row r="3" spans="1:2" x14ac:dyDescent="0.35">
      <c r="A3">
        <v>1</v>
      </c>
      <c r="B3">
        <v>-1</v>
      </c>
    </row>
    <row r="4" spans="1:2" x14ac:dyDescent="0.35">
      <c r="A4">
        <v>2</v>
      </c>
      <c r="B4">
        <v>0</v>
      </c>
    </row>
    <row r="5" spans="1:2" x14ac:dyDescent="0.35">
      <c r="A5">
        <v>39</v>
      </c>
      <c r="B5">
        <v>0.5</v>
      </c>
    </row>
    <row r="6" spans="1:2" x14ac:dyDescent="0.35">
      <c r="A6">
        <v>40</v>
      </c>
      <c r="B6">
        <f>1</f>
        <v>1</v>
      </c>
    </row>
    <row r="7" spans="1:2" x14ac:dyDescent="0.35">
      <c r="A7">
        <v>3</v>
      </c>
      <c r="B7">
        <v>1.5</v>
      </c>
    </row>
    <row r="8" spans="1:2" x14ac:dyDescent="0.35">
      <c r="A8">
        <v>0</v>
      </c>
      <c r="B8">
        <v>5</v>
      </c>
    </row>
    <row r="9" spans="1:2" x14ac:dyDescent="0.35">
      <c r="A9">
        <v>27</v>
      </c>
      <c r="B9">
        <v>5</v>
      </c>
    </row>
    <row r="10" spans="1:2" x14ac:dyDescent="0.35">
      <c r="A10">
        <v>31</v>
      </c>
      <c r="B10" s="2">
        <v>1.0000000000000001E+300</v>
      </c>
    </row>
    <row r="11" spans="1:2" x14ac:dyDescent="0.35">
      <c r="A11">
        <v>12</v>
      </c>
      <c r="B11" t="str">
        <f>""</f>
        <v/>
      </c>
    </row>
    <row r="12" spans="1:2" x14ac:dyDescent="0.35">
      <c r="A12">
        <v>41</v>
      </c>
      <c r="B12" s="1" t="s">
        <v>19</v>
      </c>
    </row>
    <row r="13" spans="1:2" x14ac:dyDescent="0.35">
      <c r="A13">
        <v>23</v>
      </c>
      <c r="B13" s="1" t="s">
        <v>14</v>
      </c>
    </row>
    <row r="14" spans="1:2" x14ac:dyDescent="0.35">
      <c r="A14">
        <v>14</v>
      </c>
      <c r="B14" s="1" t="s">
        <v>5</v>
      </c>
    </row>
    <row r="15" spans="1:2" x14ac:dyDescent="0.35">
      <c r="A15">
        <v>24</v>
      </c>
      <c r="B15" s="1" t="s">
        <v>15</v>
      </c>
    </row>
    <row r="16" spans="1:2" x14ac:dyDescent="0.35">
      <c r="A16">
        <v>37</v>
      </c>
      <c r="B16" s="1" t="s">
        <v>18</v>
      </c>
    </row>
    <row r="17" spans="1:2" x14ac:dyDescent="0.35">
      <c r="A17">
        <v>5</v>
      </c>
      <c r="B17" s="1" t="s">
        <v>3</v>
      </c>
    </row>
    <row r="18" spans="1:2" x14ac:dyDescent="0.35">
      <c r="A18">
        <v>6</v>
      </c>
      <c r="B18" s="1" t="s">
        <v>4</v>
      </c>
    </row>
    <row r="19" spans="1:2" x14ac:dyDescent="0.35">
      <c r="A19">
        <v>28</v>
      </c>
      <c r="B19" s="1" t="s">
        <v>16</v>
      </c>
    </row>
    <row r="20" spans="1:2" x14ac:dyDescent="0.35">
      <c r="A20">
        <v>15</v>
      </c>
      <c r="B20" s="1" t="s">
        <v>6</v>
      </c>
    </row>
    <row r="21" spans="1:2" x14ac:dyDescent="0.35">
      <c r="A21">
        <v>18</v>
      </c>
      <c r="B21" s="1" t="s">
        <v>9</v>
      </c>
    </row>
    <row r="22" spans="1:2" x14ac:dyDescent="0.35">
      <c r="A22">
        <v>42</v>
      </c>
      <c r="B22" s="1" t="s">
        <v>6</v>
      </c>
    </row>
    <row r="23" spans="1:2" x14ac:dyDescent="0.35">
      <c r="A23">
        <v>43</v>
      </c>
      <c r="B23" s="1" t="s">
        <v>9</v>
      </c>
    </row>
    <row r="24" spans="1:2" x14ac:dyDescent="0.35">
      <c r="A24">
        <v>19</v>
      </c>
      <c r="B24" s="1" t="s">
        <v>10</v>
      </c>
    </row>
    <row r="25" spans="1:2" x14ac:dyDescent="0.35">
      <c r="A25">
        <v>20</v>
      </c>
      <c r="B25" s="1" t="s">
        <v>11</v>
      </c>
    </row>
    <row r="26" spans="1:2" x14ac:dyDescent="0.35">
      <c r="A26">
        <v>16</v>
      </c>
      <c r="B26" s="1" t="s">
        <v>7</v>
      </c>
    </row>
    <row r="27" spans="1:2" x14ac:dyDescent="0.35">
      <c r="A27">
        <v>17</v>
      </c>
      <c r="B27" s="1" t="s">
        <v>8</v>
      </c>
    </row>
    <row r="28" spans="1:2" x14ac:dyDescent="0.35">
      <c r="A28">
        <v>21</v>
      </c>
      <c r="B28" s="1" t="s">
        <v>12</v>
      </c>
    </row>
    <row r="29" spans="1:2" x14ac:dyDescent="0.35">
      <c r="A29">
        <v>4</v>
      </c>
      <c r="B29" s="1" t="s">
        <v>2</v>
      </c>
    </row>
    <row r="30" spans="1:2" x14ac:dyDescent="0.35">
      <c r="A30">
        <v>30</v>
      </c>
      <c r="B30" s="1" t="s">
        <v>17</v>
      </c>
    </row>
    <row r="31" spans="1:2" x14ac:dyDescent="0.35">
      <c r="A31">
        <v>22</v>
      </c>
      <c r="B31" s="1" t="s">
        <v>13</v>
      </c>
    </row>
    <row r="32" spans="1:2" x14ac:dyDescent="0.35">
      <c r="A32">
        <v>8</v>
      </c>
      <c r="B32" t="b">
        <v>0</v>
      </c>
    </row>
    <row r="33" spans="1:2" x14ac:dyDescent="0.35">
      <c r="A33">
        <v>7</v>
      </c>
      <c r="B33" t="b">
        <v>1</v>
      </c>
    </row>
    <row r="34" spans="1:2" x14ac:dyDescent="0.35">
      <c r="A34">
        <v>29</v>
      </c>
      <c r="B34" t="b">
        <f>TRUE</f>
        <v>1</v>
      </c>
    </row>
    <row r="35" spans="1:2" x14ac:dyDescent="0.35">
      <c r="A35">
        <v>9</v>
      </c>
      <c r="B35" t="e">
        <f>NA()</f>
        <v>#N/A</v>
      </c>
    </row>
    <row r="36" spans="1:2" x14ac:dyDescent="0.35">
      <c r="A36">
        <v>10</v>
      </c>
      <c r="B36" t="e">
        <f>1/0</f>
        <v>#DIV/0!</v>
      </c>
    </row>
    <row r="37" spans="1:2" x14ac:dyDescent="0.35">
      <c r="A37">
        <v>11</v>
      </c>
      <c r="B37" t="e">
        <v>#VALUE!</v>
      </c>
    </row>
    <row r="38" spans="1:2" x14ac:dyDescent="0.35">
      <c r="A38">
        <v>25</v>
      </c>
      <c r="B38" t="e">
        <v>#N/A</v>
      </c>
    </row>
    <row r="39" spans="1:2" x14ac:dyDescent="0.35">
      <c r="A39">
        <v>26</v>
      </c>
      <c r="B39" t="e">
        <v>#REF!</v>
      </c>
    </row>
    <row r="40" spans="1:2" x14ac:dyDescent="0.35">
      <c r="A40">
        <v>33</v>
      </c>
      <c r="B40" t="e">
        <v>#NAME?</v>
      </c>
    </row>
    <row r="41" spans="1:2" x14ac:dyDescent="0.35">
      <c r="A41">
        <v>34</v>
      </c>
      <c r="B41" t="e">
        <v>#NUM!</v>
      </c>
    </row>
    <row r="42" spans="1:2" x14ac:dyDescent="0.35">
      <c r="A42">
        <v>35</v>
      </c>
      <c r="B42" t="e">
        <v>#NULL!</v>
      </c>
    </row>
    <row r="43" spans="1:2" x14ac:dyDescent="0.35">
      <c r="A43">
        <v>36</v>
      </c>
      <c r="B43" t="e">
        <v>#DIV/0!</v>
      </c>
    </row>
    <row r="44" spans="1:2" x14ac:dyDescent="0.35">
      <c r="A44">
        <v>13</v>
      </c>
    </row>
    <row r="45" spans="1:2" x14ac:dyDescent="0.35">
      <c r="A45">
        <v>38</v>
      </c>
    </row>
  </sheetData>
  <sortState xmlns:xlrd2="http://schemas.microsoft.com/office/spreadsheetml/2017/richdata2" ref="A2:B45">
    <sortCondition ref="B2:B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E503-9625-420F-B5D9-5F5F0375C9F8}">
  <dimension ref="A1:B45"/>
  <sheetViews>
    <sheetView workbookViewId="0">
      <selection activeCell="A2" sqref="A2:B4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9</v>
      </c>
      <c r="B2" t="e">
        <f>NA()</f>
        <v>#N/A</v>
      </c>
    </row>
    <row r="3" spans="1:2" x14ac:dyDescent="0.35">
      <c r="A3">
        <v>10</v>
      </c>
      <c r="B3" t="e">
        <f>1/0</f>
        <v>#DIV/0!</v>
      </c>
    </row>
    <row r="4" spans="1:2" x14ac:dyDescent="0.35">
      <c r="A4">
        <v>11</v>
      </c>
      <c r="B4" t="e">
        <v>#VALUE!</v>
      </c>
    </row>
    <row r="5" spans="1:2" x14ac:dyDescent="0.35">
      <c r="A5">
        <v>25</v>
      </c>
      <c r="B5" t="e">
        <v>#N/A</v>
      </c>
    </row>
    <row r="6" spans="1:2" x14ac:dyDescent="0.35">
      <c r="A6">
        <v>26</v>
      </c>
      <c r="B6" t="e">
        <v>#REF!</v>
      </c>
    </row>
    <row r="7" spans="1:2" x14ac:dyDescent="0.35">
      <c r="A7">
        <v>33</v>
      </c>
      <c r="B7" t="e">
        <v>#NAME?</v>
      </c>
    </row>
    <row r="8" spans="1:2" x14ac:dyDescent="0.35">
      <c r="A8">
        <v>34</v>
      </c>
      <c r="B8" t="e">
        <v>#NUM!</v>
      </c>
    </row>
    <row r="9" spans="1:2" x14ac:dyDescent="0.35">
      <c r="A9">
        <v>35</v>
      </c>
      <c r="B9" t="e">
        <v>#NULL!</v>
      </c>
    </row>
    <row r="10" spans="1:2" x14ac:dyDescent="0.35">
      <c r="A10">
        <v>36</v>
      </c>
      <c r="B10" t="e">
        <v>#DIV/0!</v>
      </c>
    </row>
    <row r="11" spans="1:2" x14ac:dyDescent="0.35">
      <c r="A11">
        <v>7</v>
      </c>
      <c r="B11" t="b">
        <v>1</v>
      </c>
    </row>
    <row r="12" spans="1:2" x14ac:dyDescent="0.35">
      <c r="A12">
        <v>29</v>
      </c>
      <c r="B12" t="b">
        <f>TRUE</f>
        <v>1</v>
      </c>
    </row>
    <row r="13" spans="1:2" x14ac:dyDescent="0.35">
      <c r="A13">
        <v>8</v>
      </c>
      <c r="B13" t="b">
        <v>0</v>
      </c>
    </row>
    <row r="14" spans="1:2" x14ac:dyDescent="0.35">
      <c r="A14">
        <v>22</v>
      </c>
      <c r="B14" s="1" t="s">
        <v>13</v>
      </c>
    </row>
    <row r="15" spans="1:2" x14ac:dyDescent="0.35">
      <c r="A15">
        <v>30</v>
      </c>
      <c r="B15" s="1" t="s">
        <v>17</v>
      </c>
    </row>
    <row r="16" spans="1:2" x14ac:dyDescent="0.35">
      <c r="A16">
        <v>4</v>
      </c>
      <c r="B16" s="1" t="s">
        <v>2</v>
      </c>
    </row>
    <row r="17" spans="1:2" x14ac:dyDescent="0.35">
      <c r="A17">
        <v>21</v>
      </c>
      <c r="B17" s="1" t="s">
        <v>12</v>
      </c>
    </row>
    <row r="18" spans="1:2" x14ac:dyDescent="0.35">
      <c r="A18">
        <v>16</v>
      </c>
      <c r="B18" s="1" t="s">
        <v>7</v>
      </c>
    </row>
    <row r="19" spans="1:2" x14ac:dyDescent="0.35">
      <c r="A19">
        <v>17</v>
      </c>
      <c r="B19" s="1" t="s">
        <v>8</v>
      </c>
    </row>
    <row r="20" spans="1:2" x14ac:dyDescent="0.35">
      <c r="A20">
        <v>19</v>
      </c>
      <c r="B20" s="1" t="s">
        <v>10</v>
      </c>
    </row>
    <row r="21" spans="1:2" x14ac:dyDescent="0.35">
      <c r="A21">
        <v>20</v>
      </c>
      <c r="B21" s="1" t="s">
        <v>11</v>
      </c>
    </row>
    <row r="22" spans="1:2" x14ac:dyDescent="0.35">
      <c r="A22">
        <v>15</v>
      </c>
      <c r="B22" s="1" t="s">
        <v>6</v>
      </c>
    </row>
    <row r="23" spans="1:2" x14ac:dyDescent="0.35">
      <c r="A23">
        <v>18</v>
      </c>
      <c r="B23" s="1" t="s">
        <v>9</v>
      </c>
    </row>
    <row r="24" spans="1:2" x14ac:dyDescent="0.35">
      <c r="A24">
        <v>42</v>
      </c>
      <c r="B24" s="1" t="s">
        <v>6</v>
      </c>
    </row>
    <row r="25" spans="1:2" x14ac:dyDescent="0.35">
      <c r="A25">
        <v>43</v>
      </c>
      <c r="B25" s="1" t="s">
        <v>9</v>
      </c>
    </row>
    <row r="26" spans="1:2" x14ac:dyDescent="0.35">
      <c r="A26">
        <v>28</v>
      </c>
      <c r="B26" s="1" t="s">
        <v>16</v>
      </c>
    </row>
    <row r="27" spans="1:2" x14ac:dyDescent="0.35">
      <c r="A27">
        <v>6</v>
      </c>
      <c r="B27" s="1" t="s">
        <v>4</v>
      </c>
    </row>
    <row r="28" spans="1:2" x14ac:dyDescent="0.35">
      <c r="A28">
        <v>5</v>
      </c>
      <c r="B28" s="1" t="s">
        <v>3</v>
      </c>
    </row>
    <row r="29" spans="1:2" x14ac:dyDescent="0.35">
      <c r="A29">
        <v>37</v>
      </c>
      <c r="B29" s="1" t="s">
        <v>18</v>
      </c>
    </row>
    <row r="30" spans="1:2" x14ac:dyDescent="0.35">
      <c r="A30">
        <v>24</v>
      </c>
      <c r="B30" s="1" t="s">
        <v>15</v>
      </c>
    </row>
    <row r="31" spans="1:2" x14ac:dyDescent="0.35">
      <c r="A31">
        <v>14</v>
      </c>
      <c r="B31" s="1" t="s">
        <v>5</v>
      </c>
    </row>
    <row r="32" spans="1:2" x14ac:dyDescent="0.35">
      <c r="A32">
        <v>23</v>
      </c>
      <c r="B32" s="1" t="s">
        <v>14</v>
      </c>
    </row>
    <row r="33" spans="1:2" x14ac:dyDescent="0.35">
      <c r="A33">
        <v>12</v>
      </c>
      <c r="B33" t="str">
        <f>""</f>
        <v/>
      </c>
    </row>
    <row r="34" spans="1:2" x14ac:dyDescent="0.35">
      <c r="A34">
        <v>41</v>
      </c>
      <c r="B34" s="1" t="s">
        <v>19</v>
      </c>
    </row>
    <row r="35" spans="1:2" x14ac:dyDescent="0.35">
      <c r="A35">
        <v>31</v>
      </c>
      <c r="B35" s="2">
        <v>1.0000000000000001E+300</v>
      </c>
    </row>
    <row r="36" spans="1:2" x14ac:dyDescent="0.35">
      <c r="A36">
        <v>0</v>
      </c>
      <c r="B36">
        <v>5</v>
      </c>
    </row>
    <row r="37" spans="1:2" x14ac:dyDescent="0.35">
      <c r="A37">
        <v>27</v>
      </c>
      <c r="B37">
        <v>5</v>
      </c>
    </row>
    <row r="38" spans="1:2" x14ac:dyDescent="0.35">
      <c r="A38">
        <v>3</v>
      </c>
      <c r="B38">
        <v>1.5</v>
      </c>
    </row>
    <row r="39" spans="1:2" x14ac:dyDescent="0.35">
      <c r="A39">
        <v>40</v>
      </c>
      <c r="B39">
        <f>1</f>
        <v>1</v>
      </c>
    </row>
    <row r="40" spans="1:2" x14ac:dyDescent="0.35">
      <c r="A40">
        <v>39</v>
      </c>
      <c r="B40">
        <v>0.5</v>
      </c>
    </row>
    <row r="41" spans="1:2" x14ac:dyDescent="0.35">
      <c r="A41">
        <v>2</v>
      </c>
      <c r="B41">
        <v>0</v>
      </c>
    </row>
    <row r="42" spans="1:2" x14ac:dyDescent="0.35">
      <c r="A42">
        <v>1</v>
      </c>
      <c r="B42">
        <v>-1</v>
      </c>
    </row>
    <row r="43" spans="1:2" x14ac:dyDescent="0.35">
      <c r="A43">
        <v>32</v>
      </c>
      <c r="B43" s="2">
        <v>-1.0000000000000001E+300</v>
      </c>
    </row>
    <row r="44" spans="1:2" x14ac:dyDescent="0.35">
      <c r="A44">
        <v>13</v>
      </c>
    </row>
    <row r="45" spans="1:2" x14ac:dyDescent="0.35">
      <c r="A45">
        <v>38</v>
      </c>
    </row>
  </sheetData>
  <sortState xmlns:xlrd2="http://schemas.microsoft.com/office/spreadsheetml/2017/richdata2" ref="A2:B45">
    <sortCondition descending="1" ref="B2:B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B788-30D7-4411-B926-8F04ED338B00}">
  <dimension ref="A1:B52"/>
  <sheetViews>
    <sheetView workbookViewId="0">
      <selection activeCell="A2" sqref="A2:B52"/>
    </sheetView>
  </sheetViews>
  <sheetFormatPr defaultRowHeight="14.5" x14ac:dyDescent="0.35"/>
  <sheetData>
    <row r="1" spans="1:2" x14ac:dyDescent="0.35">
      <c r="A1" t="s">
        <v>0</v>
      </c>
      <c r="B1" t="s">
        <v>20</v>
      </c>
    </row>
    <row r="2" spans="1:2" x14ac:dyDescent="0.35">
      <c r="A2">
        <v>44</v>
      </c>
      <c r="B2" s="3" t="s">
        <v>61</v>
      </c>
    </row>
    <row r="3" spans="1:2" x14ac:dyDescent="0.35">
      <c r="A3">
        <v>43</v>
      </c>
      <c r="B3" s="3" t="s">
        <v>60</v>
      </c>
    </row>
    <row r="4" spans="1:2" x14ac:dyDescent="0.35">
      <c r="A4">
        <v>46</v>
      </c>
      <c r="B4" s="3" t="s">
        <v>4</v>
      </c>
    </row>
    <row r="5" spans="1:2" x14ac:dyDescent="0.35">
      <c r="A5">
        <v>45</v>
      </c>
      <c r="B5" s="3" t="s">
        <v>62</v>
      </c>
    </row>
    <row r="6" spans="1:2" x14ac:dyDescent="0.35">
      <c r="A6">
        <v>23</v>
      </c>
      <c r="B6" s="3" t="s">
        <v>6</v>
      </c>
    </row>
    <row r="7" spans="1:2" x14ac:dyDescent="0.35">
      <c r="A7">
        <v>24</v>
      </c>
      <c r="B7" s="3" t="s">
        <v>9</v>
      </c>
    </row>
    <row r="8" spans="1:2" x14ac:dyDescent="0.35">
      <c r="A8">
        <v>25</v>
      </c>
      <c r="B8" s="3" t="s">
        <v>42</v>
      </c>
    </row>
    <row r="9" spans="1:2" x14ac:dyDescent="0.35">
      <c r="A9">
        <v>26</v>
      </c>
      <c r="B9" s="3" t="s">
        <v>43</v>
      </c>
    </row>
    <row r="10" spans="1:2" x14ac:dyDescent="0.35">
      <c r="A10">
        <v>27</v>
      </c>
      <c r="B10" s="3" t="s">
        <v>44</v>
      </c>
    </row>
    <row r="11" spans="1:2" x14ac:dyDescent="0.35">
      <c r="A11">
        <v>28</v>
      </c>
      <c r="B11" s="3" t="s">
        <v>45</v>
      </c>
    </row>
    <row r="12" spans="1:2" x14ac:dyDescent="0.35">
      <c r="A12">
        <v>47</v>
      </c>
      <c r="B12" s="3" t="s">
        <v>63</v>
      </c>
    </row>
    <row r="13" spans="1:2" x14ac:dyDescent="0.35">
      <c r="A13">
        <v>2</v>
      </c>
      <c r="B13" s="3" t="s">
        <v>23</v>
      </c>
    </row>
    <row r="14" spans="1:2" x14ac:dyDescent="0.35">
      <c r="A14">
        <v>4</v>
      </c>
      <c r="B14" s="3" t="s">
        <v>25</v>
      </c>
    </row>
    <row r="15" spans="1:2" x14ac:dyDescent="0.35">
      <c r="A15">
        <v>0</v>
      </c>
      <c r="B15" s="3" t="s">
        <v>21</v>
      </c>
    </row>
    <row r="16" spans="1:2" x14ac:dyDescent="0.35">
      <c r="A16">
        <v>6</v>
      </c>
      <c r="B16" s="3" t="s">
        <v>27</v>
      </c>
    </row>
    <row r="17" spans="1:2" x14ac:dyDescent="0.35">
      <c r="A17">
        <v>1</v>
      </c>
      <c r="B17" s="3" t="s">
        <v>22</v>
      </c>
    </row>
    <row r="18" spans="1:2" x14ac:dyDescent="0.35">
      <c r="A18">
        <v>5</v>
      </c>
      <c r="B18" s="3" t="s">
        <v>26</v>
      </c>
    </row>
    <row r="19" spans="1:2" x14ac:dyDescent="0.35">
      <c r="A19">
        <v>3</v>
      </c>
      <c r="B19" s="3" t="s">
        <v>24</v>
      </c>
    </row>
    <row r="20" spans="1:2" x14ac:dyDescent="0.35">
      <c r="A20">
        <v>17</v>
      </c>
      <c r="B20" s="3" t="s">
        <v>8</v>
      </c>
    </row>
    <row r="21" spans="1:2" x14ac:dyDescent="0.35">
      <c r="A21">
        <v>18</v>
      </c>
      <c r="B21" s="3" t="s">
        <v>7</v>
      </c>
    </row>
    <row r="22" spans="1:2" x14ac:dyDescent="0.35">
      <c r="A22">
        <v>19</v>
      </c>
      <c r="B22" s="3" t="s">
        <v>38</v>
      </c>
    </row>
    <row r="23" spans="1:2" x14ac:dyDescent="0.35">
      <c r="A23">
        <v>21</v>
      </c>
      <c r="B23" s="3" t="s">
        <v>40</v>
      </c>
    </row>
    <row r="24" spans="1:2" x14ac:dyDescent="0.35">
      <c r="A24">
        <v>20</v>
      </c>
      <c r="B24" s="3" t="s">
        <v>39</v>
      </c>
    </row>
    <row r="25" spans="1:2" x14ac:dyDescent="0.35">
      <c r="A25">
        <v>22</v>
      </c>
      <c r="B25" s="3" t="s">
        <v>41</v>
      </c>
    </row>
    <row r="26" spans="1:2" x14ac:dyDescent="0.35">
      <c r="A26">
        <v>13</v>
      </c>
      <c r="B26" s="3" t="s">
        <v>34</v>
      </c>
    </row>
    <row r="27" spans="1:2" x14ac:dyDescent="0.35">
      <c r="A27">
        <v>14</v>
      </c>
      <c r="B27" s="3" t="s">
        <v>35</v>
      </c>
    </row>
    <row r="28" spans="1:2" x14ac:dyDescent="0.35">
      <c r="A28">
        <v>15</v>
      </c>
      <c r="B28" s="3" t="s">
        <v>36</v>
      </c>
    </row>
    <row r="29" spans="1:2" x14ac:dyDescent="0.35">
      <c r="A29">
        <v>16</v>
      </c>
      <c r="B29" s="3" t="s">
        <v>37</v>
      </c>
    </row>
    <row r="30" spans="1:2" x14ac:dyDescent="0.35">
      <c r="A30">
        <v>38</v>
      </c>
      <c r="B30" s="3" t="s">
        <v>55</v>
      </c>
    </row>
    <row r="31" spans="1:2" x14ac:dyDescent="0.35">
      <c r="A31">
        <v>37</v>
      </c>
      <c r="B31" s="3" t="s">
        <v>54</v>
      </c>
    </row>
    <row r="32" spans="1:2" x14ac:dyDescent="0.35">
      <c r="A32">
        <v>39</v>
      </c>
      <c r="B32" s="3" t="s">
        <v>56</v>
      </c>
    </row>
    <row r="33" spans="1:2" x14ac:dyDescent="0.35">
      <c r="A33">
        <v>40</v>
      </c>
      <c r="B33" s="3" t="s">
        <v>57</v>
      </c>
    </row>
    <row r="34" spans="1:2" x14ac:dyDescent="0.35">
      <c r="A34">
        <v>41</v>
      </c>
      <c r="B34" s="3" t="s">
        <v>58</v>
      </c>
    </row>
    <row r="35" spans="1:2" x14ac:dyDescent="0.35">
      <c r="A35">
        <v>42</v>
      </c>
      <c r="B35" s="3" t="s">
        <v>59</v>
      </c>
    </row>
    <row r="36" spans="1:2" x14ac:dyDescent="0.35">
      <c r="A36">
        <v>7</v>
      </c>
      <c r="B36" s="3" t="s">
        <v>28</v>
      </c>
    </row>
    <row r="37" spans="1:2" x14ac:dyDescent="0.35">
      <c r="A37">
        <v>8</v>
      </c>
      <c r="B37" s="3" t="s">
        <v>29</v>
      </c>
    </row>
    <row r="38" spans="1:2" x14ac:dyDescent="0.35">
      <c r="A38">
        <v>11</v>
      </c>
      <c r="B38" s="3" t="s">
        <v>32</v>
      </c>
    </row>
    <row r="39" spans="1:2" x14ac:dyDescent="0.35">
      <c r="A39">
        <v>12</v>
      </c>
      <c r="B39" s="3" t="s">
        <v>33</v>
      </c>
    </row>
    <row r="40" spans="1:2" x14ac:dyDescent="0.35">
      <c r="A40">
        <v>9</v>
      </c>
      <c r="B40" s="3" t="s">
        <v>30</v>
      </c>
    </row>
    <row r="41" spans="1:2" x14ac:dyDescent="0.35">
      <c r="A41">
        <v>10</v>
      </c>
      <c r="B41" s="3" t="s">
        <v>31</v>
      </c>
    </row>
    <row r="42" spans="1:2" x14ac:dyDescent="0.35">
      <c r="A42">
        <v>29</v>
      </c>
      <c r="B42" s="3" t="s">
        <v>46</v>
      </c>
    </row>
    <row r="43" spans="1:2" x14ac:dyDescent="0.35">
      <c r="A43">
        <v>32</v>
      </c>
      <c r="B43" s="3" t="s">
        <v>49</v>
      </c>
    </row>
    <row r="44" spans="1:2" x14ac:dyDescent="0.35">
      <c r="A44">
        <v>30</v>
      </c>
      <c r="B44" s="3" t="s">
        <v>47</v>
      </c>
    </row>
    <row r="45" spans="1:2" x14ac:dyDescent="0.35">
      <c r="A45">
        <v>31</v>
      </c>
      <c r="B45" s="3" t="s">
        <v>48</v>
      </c>
    </row>
    <row r="46" spans="1:2" x14ac:dyDescent="0.35">
      <c r="A46">
        <v>33</v>
      </c>
      <c r="B46" s="3" t="s">
        <v>50</v>
      </c>
    </row>
    <row r="47" spans="1:2" x14ac:dyDescent="0.35">
      <c r="A47">
        <v>34</v>
      </c>
      <c r="B47" s="3" t="s">
        <v>51</v>
      </c>
    </row>
    <row r="48" spans="1:2" x14ac:dyDescent="0.35">
      <c r="A48">
        <v>35</v>
      </c>
      <c r="B48" s="3" t="s">
        <v>52</v>
      </c>
    </row>
    <row r="49" spans="1:2" x14ac:dyDescent="0.35">
      <c r="A49">
        <v>36</v>
      </c>
      <c r="B49" s="3" t="s">
        <v>53</v>
      </c>
    </row>
    <row r="50" spans="1:2" x14ac:dyDescent="0.35">
      <c r="A50">
        <v>50</v>
      </c>
      <c r="B50" s="3" t="s">
        <v>66</v>
      </c>
    </row>
    <row r="51" spans="1:2" x14ac:dyDescent="0.35">
      <c r="A51">
        <v>48</v>
      </c>
      <c r="B51" s="3" t="s">
        <v>64</v>
      </c>
    </row>
    <row r="52" spans="1:2" x14ac:dyDescent="0.35">
      <c r="A52">
        <v>49</v>
      </c>
      <c r="B52" s="3" t="s">
        <v>65</v>
      </c>
    </row>
  </sheetData>
  <sortState xmlns:xlrd2="http://schemas.microsoft.com/office/spreadsheetml/2017/richdata2" caseSensitive="1" ref="A2:B52">
    <sortCondition ref="B2:B5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CCD9-FF33-4851-AAC2-381CC4DF5796}">
  <dimension ref="A1:B52"/>
  <sheetViews>
    <sheetView workbookViewId="0">
      <selection activeCell="A2" sqref="A2:B52"/>
    </sheetView>
  </sheetViews>
  <sheetFormatPr defaultRowHeight="14.5" x14ac:dyDescent="0.35"/>
  <sheetData>
    <row r="1" spans="1:2" x14ac:dyDescent="0.35">
      <c r="A1" t="s">
        <v>0</v>
      </c>
      <c r="B1" t="s">
        <v>20</v>
      </c>
    </row>
    <row r="2" spans="1:2" x14ac:dyDescent="0.35">
      <c r="A2">
        <v>49</v>
      </c>
      <c r="B2" s="3" t="s">
        <v>65</v>
      </c>
    </row>
    <row r="3" spans="1:2" x14ac:dyDescent="0.35">
      <c r="A3">
        <v>48</v>
      </c>
      <c r="B3" s="3" t="s">
        <v>64</v>
      </c>
    </row>
    <row r="4" spans="1:2" x14ac:dyDescent="0.35">
      <c r="A4">
        <v>50</v>
      </c>
      <c r="B4" s="3" t="s">
        <v>66</v>
      </c>
    </row>
    <row r="5" spans="1:2" x14ac:dyDescent="0.35">
      <c r="A5">
        <v>36</v>
      </c>
      <c r="B5" s="3" t="s">
        <v>53</v>
      </c>
    </row>
    <row r="6" spans="1:2" x14ac:dyDescent="0.35">
      <c r="A6">
        <v>35</v>
      </c>
      <c r="B6" s="3" t="s">
        <v>52</v>
      </c>
    </row>
    <row r="7" spans="1:2" x14ac:dyDescent="0.35">
      <c r="A7">
        <v>34</v>
      </c>
      <c r="B7" s="3" t="s">
        <v>51</v>
      </c>
    </row>
    <row r="8" spans="1:2" x14ac:dyDescent="0.35">
      <c r="A8">
        <v>33</v>
      </c>
      <c r="B8" s="3" t="s">
        <v>50</v>
      </c>
    </row>
    <row r="9" spans="1:2" x14ac:dyDescent="0.35">
      <c r="A9">
        <v>31</v>
      </c>
      <c r="B9" s="3" t="s">
        <v>48</v>
      </c>
    </row>
    <row r="10" spans="1:2" x14ac:dyDescent="0.35">
      <c r="A10">
        <v>30</v>
      </c>
      <c r="B10" s="3" t="s">
        <v>47</v>
      </c>
    </row>
    <row r="11" spans="1:2" x14ac:dyDescent="0.35">
      <c r="A11">
        <v>29</v>
      </c>
      <c r="B11" s="3" t="s">
        <v>46</v>
      </c>
    </row>
    <row r="12" spans="1:2" x14ac:dyDescent="0.35">
      <c r="A12">
        <v>32</v>
      </c>
      <c r="B12" s="3" t="s">
        <v>49</v>
      </c>
    </row>
    <row r="13" spans="1:2" x14ac:dyDescent="0.35">
      <c r="A13">
        <v>10</v>
      </c>
      <c r="B13" s="3" t="s">
        <v>31</v>
      </c>
    </row>
    <row r="14" spans="1:2" x14ac:dyDescent="0.35">
      <c r="A14">
        <v>9</v>
      </c>
      <c r="B14" s="3" t="s">
        <v>30</v>
      </c>
    </row>
    <row r="15" spans="1:2" x14ac:dyDescent="0.35">
      <c r="A15">
        <v>12</v>
      </c>
      <c r="B15" s="3" t="s">
        <v>33</v>
      </c>
    </row>
    <row r="16" spans="1:2" x14ac:dyDescent="0.35">
      <c r="A16">
        <v>11</v>
      </c>
      <c r="B16" s="3" t="s">
        <v>32</v>
      </c>
    </row>
    <row r="17" spans="1:2" x14ac:dyDescent="0.35">
      <c r="A17">
        <v>8</v>
      </c>
      <c r="B17" s="3" t="s">
        <v>29</v>
      </c>
    </row>
    <row r="18" spans="1:2" x14ac:dyDescent="0.35">
      <c r="A18">
        <v>7</v>
      </c>
      <c r="B18" s="3" t="s">
        <v>28</v>
      </c>
    </row>
    <row r="19" spans="1:2" x14ac:dyDescent="0.35">
      <c r="A19">
        <v>42</v>
      </c>
      <c r="B19" s="3" t="s">
        <v>59</v>
      </c>
    </row>
    <row r="20" spans="1:2" x14ac:dyDescent="0.35">
      <c r="A20">
        <v>40</v>
      </c>
      <c r="B20" s="3" t="s">
        <v>57</v>
      </c>
    </row>
    <row r="21" spans="1:2" x14ac:dyDescent="0.35">
      <c r="A21">
        <v>41</v>
      </c>
      <c r="B21" s="3" t="s">
        <v>58</v>
      </c>
    </row>
    <row r="22" spans="1:2" x14ac:dyDescent="0.35">
      <c r="A22">
        <v>39</v>
      </c>
      <c r="B22" s="3" t="s">
        <v>56</v>
      </c>
    </row>
    <row r="23" spans="1:2" x14ac:dyDescent="0.35">
      <c r="A23">
        <v>37</v>
      </c>
      <c r="B23" s="3" t="s">
        <v>54</v>
      </c>
    </row>
    <row r="24" spans="1:2" x14ac:dyDescent="0.35">
      <c r="A24">
        <v>38</v>
      </c>
      <c r="B24" s="3" t="s">
        <v>55</v>
      </c>
    </row>
    <row r="25" spans="1:2" x14ac:dyDescent="0.35">
      <c r="A25">
        <v>16</v>
      </c>
      <c r="B25" s="3" t="s">
        <v>37</v>
      </c>
    </row>
    <row r="26" spans="1:2" x14ac:dyDescent="0.35">
      <c r="A26">
        <v>15</v>
      </c>
      <c r="B26" s="3" t="s">
        <v>36</v>
      </c>
    </row>
    <row r="27" spans="1:2" x14ac:dyDescent="0.35">
      <c r="A27">
        <v>14</v>
      </c>
      <c r="B27" s="3" t="s">
        <v>35</v>
      </c>
    </row>
    <row r="28" spans="1:2" x14ac:dyDescent="0.35">
      <c r="A28">
        <v>13</v>
      </c>
      <c r="B28" s="3" t="s">
        <v>34</v>
      </c>
    </row>
    <row r="29" spans="1:2" x14ac:dyDescent="0.35">
      <c r="A29">
        <v>22</v>
      </c>
      <c r="B29" s="3" t="s">
        <v>41</v>
      </c>
    </row>
    <row r="30" spans="1:2" x14ac:dyDescent="0.35">
      <c r="A30">
        <v>20</v>
      </c>
      <c r="B30" s="3" t="s">
        <v>39</v>
      </c>
    </row>
    <row r="31" spans="1:2" x14ac:dyDescent="0.35">
      <c r="A31">
        <v>21</v>
      </c>
      <c r="B31" s="3" t="s">
        <v>40</v>
      </c>
    </row>
    <row r="32" spans="1:2" x14ac:dyDescent="0.35">
      <c r="A32">
        <v>19</v>
      </c>
      <c r="B32" s="3" t="s">
        <v>38</v>
      </c>
    </row>
    <row r="33" spans="1:2" x14ac:dyDescent="0.35">
      <c r="A33">
        <v>18</v>
      </c>
      <c r="B33" s="3" t="s">
        <v>7</v>
      </c>
    </row>
    <row r="34" spans="1:2" x14ac:dyDescent="0.35">
      <c r="A34">
        <v>17</v>
      </c>
      <c r="B34" s="3" t="s">
        <v>8</v>
      </c>
    </row>
    <row r="35" spans="1:2" x14ac:dyDescent="0.35">
      <c r="A35">
        <v>3</v>
      </c>
      <c r="B35" s="3" t="s">
        <v>24</v>
      </c>
    </row>
    <row r="36" spans="1:2" x14ac:dyDescent="0.35">
      <c r="A36">
        <v>5</v>
      </c>
      <c r="B36" s="3" t="s">
        <v>26</v>
      </c>
    </row>
    <row r="37" spans="1:2" x14ac:dyDescent="0.35">
      <c r="A37">
        <v>1</v>
      </c>
      <c r="B37" s="3" t="s">
        <v>22</v>
      </c>
    </row>
    <row r="38" spans="1:2" x14ac:dyDescent="0.35">
      <c r="A38">
        <v>6</v>
      </c>
      <c r="B38" s="3" t="s">
        <v>27</v>
      </c>
    </row>
    <row r="39" spans="1:2" x14ac:dyDescent="0.35">
      <c r="A39">
        <v>0</v>
      </c>
      <c r="B39" s="3" t="s">
        <v>21</v>
      </c>
    </row>
    <row r="40" spans="1:2" x14ac:dyDescent="0.35">
      <c r="A40">
        <v>4</v>
      </c>
      <c r="B40" s="3" t="s">
        <v>25</v>
      </c>
    </row>
    <row r="41" spans="1:2" x14ac:dyDescent="0.35">
      <c r="A41">
        <v>2</v>
      </c>
      <c r="B41" s="3" t="s">
        <v>23</v>
      </c>
    </row>
    <row r="42" spans="1:2" x14ac:dyDescent="0.35">
      <c r="A42">
        <v>47</v>
      </c>
      <c r="B42" s="3" t="s">
        <v>63</v>
      </c>
    </row>
    <row r="43" spans="1:2" x14ac:dyDescent="0.35">
      <c r="A43">
        <v>28</v>
      </c>
      <c r="B43" s="3" t="s">
        <v>45</v>
      </c>
    </row>
    <row r="44" spans="1:2" x14ac:dyDescent="0.35">
      <c r="A44">
        <v>27</v>
      </c>
      <c r="B44" s="3" t="s">
        <v>44</v>
      </c>
    </row>
    <row r="45" spans="1:2" x14ac:dyDescent="0.35">
      <c r="A45">
        <v>26</v>
      </c>
      <c r="B45" s="3" t="s">
        <v>43</v>
      </c>
    </row>
    <row r="46" spans="1:2" x14ac:dyDescent="0.35">
      <c r="A46">
        <v>25</v>
      </c>
      <c r="B46" s="3" t="s">
        <v>42</v>
      </c>
    </row>
    <row r="47" spans="1:2" x14ac:dyDescent="0.35">
      <c r="A47">
        <v>24</v>
      </c>
      <c r="B47" s="3" t="s">
        <v>9</v>
      </c>
    </row>
    <row r="48" spans="1:2" x14ac:dyDescent="0.35">
      <c r="A48">
        <v>23</v>
      </c>
      <c r="B48" s="3" t="s">
        <v>6</v>
      </c>
    </row>
    <row r="49" spans="1:2" x14ac:dyDescent="0.35">
      <c r="A49">
        <v>45</v>
      </c>
      <c r="B49" s="3" t="s">
        <v>62</v>
      </c>
    </row>
    <row r="50" spans="1:2" x14ac:dyDescent="0.35">
      <c r="A50">
        <v>46</v>
      </c>
      <c r="B50" s="3" t="s">
        <v>4</v>
      </c>
    </row>
    <row r="51" spans="1:2" x14ac:dyDescent="0.35">
      <c r="A51">
        <v>43</v>
      </c>
      <c r="B51" s="3" t="s">
        <v>60</v>
      </c>
    </row>
    <row r="52" spans="1:2" x14ac:dyDescent="0.35">
      <c r="A52">
        <v>44</v>
      </c>
      <c r="B52" s="3" t="s">
        <v>61</v>
      </c>
    </row>
  </sheetData>
  <sortState xmlns:xlrd2="http://schemas.microsoft.com/office/spreadsheetml/2017/richdata2" caseSensitive="1" ref="A2:B52">
    <sortCondition descending="1" ref="B2:B5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007E-C03D-40B8-BFD7-974D6C5199F0}">
  <dimension ref="A1:B52"/>
  <sheetViews>
    <sheetView workbookViewId="0">
      <selection activeCell="A2" sqref="A2:B52"/>
    </sheetView>
  </sheetViews>
  <sheetFormatPr defaultRowHeight="14.5" x14ac:dyDescent="0.35"/>
  <sheetData>
    <row r="1" spans="1:2" x14ac:dyDescent="0.35">
      <c r="A1" t="s">
        <v>0</v>
      </c>
      <c r="B1" t="s">
        <v>20</v>
      </c>
    </row>
    <row r="2" spans="1:2" x14ac:dyDescent="0.35">
      <c r="A2">
        <v>44</v>
      </c>
      <c r="B2" s="3" t="s">
        <v>61</v>
      </c>
    </row>
    <row r="3" spans="1:2" x14ac:dyDescent="0.35">
      <c r="A3">
        <v>43</v>
      </c>
      <c r="B3" s="3" t="s">
        <v>60</v>
      </c>
    </row>
    <row r="4" spans="1:2" x14ac:dyDescent="0.35">
      <c r="A4">
        <v>46</v>
      </c>
      <c r="B4" s="3" t="s">
        <v>4</v>
      </c>
    </row>
    <row r="5" spans="1:2" x14ac:dyDescent="0.35">
      <c r="A5">
        <v>45</v>
      </c>
      <c r="B5" s="3" t="s">
        <v>62</v>
      </c>
    </row>
    <row r="6" spans="1:2" x14ac:dyDescent="0.35">
      <c r="A6">
        <v>23</v>
      </c>
      <c r="B6" s="3" t="s">
        <v>6</v>
      </c>
    </row>
    <row r="7" spans="1:2" x14ac:dyDescent="0.35">
      <c r="A7">
        <v>24</v>
      </c>
      <c r="B7" s="3" t="s">
        <v>9</v>
      </c>
    </row>
    <row r="8" spans="1:2" x14ac:dyDescent="0.35">
      <c r="A8">
        <v>25</v>
      </c>
      <c r="B8" s="3" t="s">
        <v>42</v>
      </c>
    </row>
    <row r="9" spans="1:2" x14ac:dyDescent="0.35">
      <c r="A9">
        <v>26</v>
      </c>
      <c r="B9" s="3" t="s">
        <v>43</v>
      </c>
    </row>
    <row r="10" spans="1:2" x14ac:dyDescent="0.35">
      <c r="A10">
        <v>27</v>
      </c>
      <c r="B10" s="3" t="s">
        <v>44</v>
      </c>
    </row>
    <row r="11" spans="1:2" x14ac:dyDescent="0.35">
      <c r="A11">
        <v>28</v>
      </c>
      <c r="B11" s="3" t="s">
        <v>45</v>
      </c>
    </row>
    <row r="12" spans="1:2" x14ac:dyDescent="0.35">
      <c r="A12">
        <v>47</v>
      </c>
      <c r="B12" s="3" t="s">
        <v>63</v>
      </c>
    </row>
    <row r="13" spans="1:2" x14ac:dyDescent="0.35">
      <c r="A13">
        <v>0</v>
      </c>
      <c r="B13" s="3" t="s">
        <v>21</v>
      </c>
    </row>
    <row r="14" spans="1:2" x14ac:dyDescent="0.35">
      <c r="A14">
        <v>1</v>
      </c>
      <c r="B14" s="3" t="s">
        <v>22</v>
      </c>
    </row>
    <row r="15" spans="1:2" x14ac:dyDescent="0.35">
      <c r="A15">
        <v>2</v>
      </c>
      <c r="B15" s="3" t="s">
        <v>23</v>
      </c>
    </row>
    <row r="16" spans="1:2" x14ac:dyDescent="0.35">
      <c r="A16">
        <v>3</v>
      </c>
      <c r="B16" s="3" t="s">
        <v>24</v>
      </c>
    </row>
    <row r="17" spans="1:2" x14ac:dyDescent="0.35">
      <c r="A17">
        <v>4</v>
      </c>
      <c r="B17" s="3" t="s">
        <v>25</v>
      </c>
    </row>
    <row r="18" spans="1:2" x14ac:dyDescent="0.35">
      <c r="A18">
        <v>5</v>
      </c>
      <c r="B18" s="3" t="s">
        <v>26</v>
      </c>
    </row>
    <row r="19" spans="1:2" x14ac:dyDescent="0.35">
      <c r="A19">
        <v>6</v>
      </c>
      <c r="B19" s="3" t="s">
        <v>27</v>
      </c>
    </row>
    <row r="20" spans="1:2" x14ac:dyDescent="0.35">
      <c r="A20">
        <v>17</v>
      </c>
      <c r="B20" s="3" t="s">
        <v>8</v>
      </c>
    </row>
    <row r="21" spans="1:2" x14ac:dyDescent="0.35">
      <c r="A21">
        <v>18</v>
      </c>
      <c r="B21" s="3" t="s">
        <v>7</v>
      </c>
    </row>
    <row r="22" spans="1:2" x14ac:dyDescent="0.35">
      <c r="A22">
        <v>19</v>
      </c>
      <c r="B22" s="3" t="s">
        <v>38</v>
      </c>
    </row>
    <row r="23" spans="1:2" x14ac:dyDescent="0.35">
      <c r="A23">
        <v>20</v>
      </c>
      <c r="B23" s="3" t="s">
        <v>39</v>
      </c>
    </row>
    <row r="24" spans="1:2" x14ac:dyDescent="0.35">
      <c r="A24">
        <v>21</v>
      </c>
      <c r="B24" s="3" t="s">
        <v>40</v>
      </c>
    </row>
    <row r="25" spans="1:2" x14ac:dyDescent="0.35">
      <c r="A25">
        <v>22</v>
      </c>
      <c r="B25" s="3" t="s">
        <v>41</v>
      </c>
    </row>
    <row r="26" spans="1:2" x14ac:dyDescent="0.35">
      <c r="A26">
        <v>13</v>
      </c>
      <c r="B26" s="3" t="s">
        <v>34</v>
      </c>
    </row>
    <row r="27" spans="1:2" x14ac:dyDescent="0.35">
      <c r="A27">
        <v>15</v>
      </c>
      <c r="B27" s="3" t="s">
        <v>36</v>
      </c>
    </row>
    <row r="28" spans="1:2" x14ac:dyDescent="0.35">
      <c r="A28">
        <v>14</v>
      </c>
      <c r="B28" s="3" t="s">
        <v>35</v>
      </c>
    </row>
    <row r="29" spans="1:2" x14ac:dyDescent="0.35">
      <c r="A29">
        <v>16</v>
      </c>
      <c r="B29" s="3" t="s">
        <v>37</v>
      </c>
    </row>
    <row r="30" spans="1:2" x14ac:dyDescent="0.35">
      <c r="A30">
        <v>37</v>
      </c>
      <c r="B30" s="3" t="s">
        <v>54</v>
      </c>
    </row>
    <row r="31" spans="1:2" x14ac:dyDescent="0.35">
      <c r="A31">
        <v>38</v>
      </c>
      <c r="B31" s="3" t="s">
        <v>55</v>
      </c>
    </row>
    <row r="32" spans="1:2" x14ac:dyDescent="0.35">
      <c r="A32">
        <v>39</v>
      </c>
      <c r="B32" s="3" t="s">
        <v>56</v>
      </c>
    </row>
    <row r="33" spans="1:2" x14ac:dyDescent="0.35">
      <c r="A33">
        <v>40</v>
      </c>
      <c r="B33" s="3" t="s">
        <v>57</v>
      </c>
    </row>
    <row r="34" spans="1:2" x14ac:dyDescent="0.35">
      <c r="A34">
        <v>41</v>
      </c>
      <c r="B34" s="3" t="s">
        <v>58</v>
      </c>
    </row>
    <row r="35" spans="1:2" x14ac:dyDescent="0.35">
      <c r="A35">
        <v>42</v>
      </c>
      <c r="B35" s="3" t="s">
        <v>59</v>
      </c>
    </row>
    <row r="36" spans="1:2" x14ac:dyDescent="0.35">
      <c r="A36">
        <v>7</v>
      </c>
      <c r="B36" s="3" t="s">
        <v>28</v>
      </c>
    </row>
    <row r="37" spans="1:2" x14ac:dyDescent="0.35">
      <c r="A37">
        <v>8</v>
      </c>
      <c r="B37" s="3" t="s">
        <v>29</v>
      </c>
    </row>
    <row r="38" spans="1:2" x14ac:dyDescent="0.35">
      <c r="A38">
        <v>11</v>
      </c>
      <c r="B38" s="3" t="s">
        <v>32</v>
      </c>
    </row>
    <row r="39" spans="1:2" x14ac:dyDescent="0.35">
      <c r="A39">
        <v>12</v>
      </c>
      <c r="B39" s="3" t="s">
        <v>33</v>
      </c>
    </row>
    <row r="40" spans="1:2" x14ac:dyDescent="0.35">
      <c r="A40">
        <v>9</v>
      </c>
      <c r="B40" s="3" t="s">
        <v>30</v>
      </c>
    </row>
    <row r="41" spans="1:2" x14ac:dyDescent="0.35">
      <c r="A41">
        <v>10</v>
      </c>
      <c r="B41" s="3" t="s">
        <v>31</v>
      </c>
    </row>
    <row r="42" spans="1:2" x14ac:dyDescent="0.35">
      <c r="A42">
        <v>29</v>
      </c>
      <c r="B42" s="3" t="s">
        <v>46</v>
      </c>
    </row>
    <row r="43" spans="1:2" x14ac:dyDescent="0.35">
      <c r="A43">
        <v>30</v>
      </c>
      <c r="B43" s="3" t="s">
        <v>47</v>
      </c>
    </row>
    <row r="44" spans="1:2" x14ac:dyDescent="0.35">
      <c r="A44">
        <v>31</v>
      </c>
      <c r="B44" s="3" t="s">
        <v>48</v>
      </c>
    </row>
    <row r="45" spans="1:2" x14ac:dyDescent="0.35">
      <c r="A45">
        <v>32</v>
      </c>
      <c r="B45" s="3" t="s">
        <v>49</v>
      </c>
    </row>
    <row r="46" spans="1:2" x14ac:dyDescent="0.35">
      <c r="A46">
        <v>33</v>
      </c>
      <c r="B46" s="3" t="s">
        <v>50</v>
      </c>
    </row>
    <row r="47" spans="1:2" x14ac:dyDescent="0.35">
      <c r="A47">
        <v>34</v>
      </c>
      <c r="B47" s="3" t="s">
        <v>51</v>
      </c>
    </row>
    <row r="48" spans="1:2" x14ac:dyDescent="0.35">
      <c r="A48">
        <v>35</v>
      </c>
      <c r="B48" s="3" t="s">
        <v>52</v>
      </c>
    </row>
    <row r="49" spans="1:2" x14ac:dyDescent="0.35">
      <c r="A49">
        <v>36</v>
      </c>
      <c r="B49" s="3" t="s">
        <v>53</v>
      </c>
    </row>
    <row r="50" spans="1:2" x14ac:dyDescent="0.35">
      <c r="A50">
        <v>48</v>
      </c>
      <c r="B50" s="3" t="s">
        <v>64</v>
      </c>
    </row>
    <row r="51" spans="1:2" x14ac:dyDescent="0.35">
      <c r="A51">
        <v>49</v>
      </c>
      <c r="B51" s="3" t="s">
        <v>65</v>
      </c>
    </row>
    <row r="52" spans="1:2" x14ac:dyDescent="0.35">
      <c r="A52">
        <v>50</v>
      </c>
      <c r="B52" s="3" t="s">
        <v>66</v>
      </c>
    </row>
  </sheetData>
  <sortState xmlns:xlrd2="http://schemas.microsoft.com/office/spreadsheetml/2017/richdata2" ref="A2:B52">
    <sortCondition ref="B2:B5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EA36-EAEF-4853-B6FE-3A34351430C9}">
  <dimension ref="A1:C10"/>
  <sheetViews>
    <sheetView workbookViewId="0">
      <selection activeCell="A2" sqref="A2:C10"/>
    </sheetView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71</v>
      </c>
    </row>
    <row r="2" spans="1:3" x14ac:dyDescent="0.35">
      <c r="A2">
        <v>0</v>
      </c>
      <c r="B2" t="s">
        <v>68</v>
      </c>
      <c r="C2">
        <v>3</v>
      </c>
    </row>
    <row r="3" spans="1:3" x14ac:dyDescent="0.35">
      <c r="A3">
        <v>7</v>
      </c>
      <c r="B3" t="s">
        <v>68</v>
      </c>
      <c r="C3">
        <v>3</v>
      </c>
    </row>
    <row r="4" spans="1:3" x14ac:dyDescent="0.35">
      <c r="A4">
        <v>4</v>
      </c>
      <c r="B4" t="s">
        <v>68</v>
      </c>
      <c r="C4">
        <v>2</v>
      </c>
    </row>
    <row r="5" spans="1:3" x14ac:dyDescent="0.35">
      <c r="A5">
        <v>2</v>
      </c>
      <c r="B5" t="s">
        <v>68</v>
      </c>
      <c r="C5">
        <v>1</v>
      </c>
    </row>
    <row r="6" spans="1:3" x14ac:dyDescent="0.35">
      <c r="A6">
        <v>8</v>
      </c>
      <c r="B6" t="s">
        <v>68</v>
      </c>
      <c r="C6">
        <v>1</v>
      </c>
    </row>
    <row r="7" spans="1:3" x14ac:dyDescent="0.35">
      <c r="A7">
        <v>3</v>
      </c>
      <c r="B7" t="s">
        <v>69</v>
      </c>
      <c r="C7">
        <v>2</v>
      </c>
    </row>
    <row r="8" spans="1:3" x14ac:dyDescent="0.35">
      <c r="A8">
        <v>1</v>
      </c>
      <c r="B8" t="s">
        <v>69</v>
      </c>
      <c r="C8">
        <v>1</v>
      </c>
    </row>
    <row r="9" spans="1:3" x14ac:dyDescent="0.35">
      <c r="A9">
        <v>6</v>
      </c>
      <c r="B9" t="s">
        <v>69</v>
      </c>
      <c r="C9">
        <v>1</v>
      </c>
    </row>
    <row r="10" spans="1:3" x14ac:dyDescent="0.35">
      <c r="A10">
        <v>5</v>
      </c>
      <c r="B10" t="s">
        <v>70</v>
      </c>
      <c r="C10">
        <v>9</v>
      </c>
    </row>
  </sheetData>
  <sortState xmlns:xlrd2="http://schemas.microsoft.com/office/spreadsheetml/2017/richdata2" ref="A2:C10">
    <sortCondition ref="B2:B10"/>
    <sortCondition descending="1" ref="C2:C1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FF1E-BF6F-47EB-B248-221353049EE0}">
  <dimension ref="A1:H10"/>
  <sheetViews>
    <sheetView workbookViewId="0">
      <selection activeCell="A2" sqref="A2:G6"/>
    </sheetView>
  </sheetViews>
  <sheetFormatPr defaultRowHeight="14.5" x14ac:dyDescent="0.35"/>
  <sheetData>
    <row r="1" spans="1:8" x14ac:dyDescent="0.35">
      <c r="A1" t="s">
        <v>0</v>
      </c>
      <c r="B1" t="s">
        <v>67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8" ht="14" customHeight="1" x14ac:dyDescent="0.35">
      <c r="A2">
        <v>1</v>
      </c>
      <c r="B2">
        <v>10</v>
      </c>
      <c r="C2">
        <f>B2*2</f>
        <v>20</v>
      </c>
      <c r="D2" t="str">
        <f>B1&amp;"|"&amp;$B2&amp;"|"&amp;B$2&amp;"|"&amp;H2&amp;"|"&amp;SUM(B$2:B$6)</f>
        <v>k|10|10|h2|150</v>
      </c>
      <c r="E2" s="5">
        <v>4.5</v>
      </c>
      <c r="F2" t="e">
        <f>Values!B2&amp;Words!B3&amp;Moves!B3&amp;SUM(Values:Down!B3)</f>
        <v>#DIV/0!</v>
      </c>
      <c r="H2" t="s">
        <v>77</v>
      </c>
    </row>
    <row r="3" spans="1:8" ht="15" customHeight="1" x14ac:dyDescent="0.35">
      <c r="A3">
        <v>3</v>
      </c>
      <c r="B3">
        <v>20</v>
      </c>
      <c r="C3">
        <f>B3*2</f>
        <v>40</v>
      </c>
      <c r="D3" t="str">
        <f>B2&amp;"|"&amp;$B3&amp;"|"&amp;B$2&amp;"|"&amp;H3&amp;"|"&amp;SUM(B$2:B$6)</f>
        <v>10|20|10|h3|150</v>
      </c>
      <c r="E3" s="7">
        <v>7.5</v>
      </c>
      <c r="F3" t="e">
        <f>#REF!+#REF!</f>
        <v>#REF!</v>
      </c>
      <c r="G3" t="e">
        <f>SUM(B$3:B4)+SUM($1:2)</f>
        <v>#DIV/0!</v>
      </c>
      <c r="H3" t="s">
        <v>78</v>
      </c>
    </row>
    <row r="4" spans="1:8" ht="16" customHeight="1" x14ac:dyDescent="0.35">
      <c r="A4">
        <v>0</v>
      </c>
      <c r="B4">
        <v>30</v>
      </c>
      <c r="C4">
        <f>B4*2</f>
        <v>60</v>
      </c>
      <c r="D4" t="str">
        <f>B3&amp;"|"&amp;$B4&amp;"|"&amp;B$2&amp;"|"&amp;H4&amp;"|"&amp;SUM(B$2:B$6)</f>
        <v>20|30|10|h4|150</v>
      </c>
      <c r="E4" s="4">
        <v>3</v>
      </c>
      <c r="H4" t="s">
        <v>79</v>
      </c>
    </row>
    <row r="5" spans="1:8" ht="17" customHeight="1" x14ac:dyDescent="0.35">
      <c r="A5">
        <v>4</v>
      </c>
      <c r="B5">
        <v>40</v>
      </c>
      <c r="C5">
        <f>B5*2</f>
        <v>80</v>
      </c>
      <c r="D5" t="str">
        <f>B4&amp;"|"&amp;$B5&amp;"|"&amp;B$2&amp;"|"&amp;H5&amp;"|"&amp;SUM(B$2:B$6)</f>
        <v>30|40|10|h5|150</v>
      </c>
      <c r="E5" s="8">
        <v>9</v>
      </c>
      <c r="F5">
        <f>SUM(B$3:B5)+SUM($4:4)</f>
        <v>183</v>
      </c>
      <c r="H5" t="s">
        <v>80</v>
      </c>
    </row>
    <row r="6" spans="1:8" ht="18" customHeight="1" x14ac:dyDescent="0.35">
      <c r="A6" s="9">
        <v>2</v>
      </c>
      <c r="B6">
        <v>50</v>
      </c>
      <c r="C6">
        <f>B6*2</f>
        <v>100</v>
      </c>
      <c r="D6" t="str">
        <f>B5&amp;"|"&amp;$B6&amp;"|"&amp;B$2&amp;"|"&amp;H6&amp;"|"&amp;SUM(B$2:B$6)</f>
        <v>40|50|10|h6|150</v>
      </c>
      <c r="E6" s="6">
        <v>6</v>
      </c>
      <c r="F6">
        <f>SUM(5:5)+COUNT(B$3:B6)</f>
        <v>320</v>
      </c>
      <c r="H6" t="s">
        <v>81</v>
      </c>
    </row>
    <row r="9" spans="1:8" x14ac:dyDescent="0.35">
      <c r="A9">
        <f>C3</f>
        <v>40</v>
      </c>
    </row>
    <row r="10" spans="1:8" x14ac:dyDescent="0.35">
      <c r="A10">
        <f>SUM(C2:C6)</f>
        <v>300</v>
      </c>
    </row>
  </sheetData>
  <sortState xmlns:xlrd2="http://schemas.microsoft.com/office/spreadsheetml/2017/richdata2" ref="A2:G6">
    <sortCondition ref="B2:B6"/>
  </sortState>
  <conditionalFormatting sqref="B2">
    <cfRule type="cellIs" priority="1" stopIfTrue="1" operator="greaterThan">
      <formula>25</formula>
    </cfRule>
  </conditionalFormatting>
  <dataValidations count="1">
    <dataValidation type="whole" allowBlank="1" showInputMessage="1" showErrorMessage="1" sqref="E5" xr:uid="{C463DCAE-261B-4DD0-AB32-57874070CB35}">
      <formula1>1</formula1>
      <formula2>9</formula2>
    </dataValidation>
  </dataValidations>
  <hyperlinks>
    <hyperlink ref="A6" r:id="rId1" display="https://example.com/a4" xr:uid="{F3302B46-3CE5-4A33-81C8-F81AF63939C3}"/>
  </hyperlinks>
  <pageMargins left="0.7" right="0.7" top="0.75" bottom="0.75" header="0.3" footer="0.3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6B21-89FD-4608-9FBE-904F91CF6162}">
  <dimension ref="A1:D7"/>
  <sheetViews>
    <sheetView workbookViewId="0">
      <selection activeCell="B2" sqref="B2:C7"/>
    </sheetView>
  </sheetViews>
  <sheetFormatPr defaultRowHeight="14.5" x14ac:dyDescent="0.35"/>
  <sheetData>
    <row r="1" spans="1:4" x14ac:dyDescent="0.35">
      <c r="A1" t="s">
        <v>0</v>
      </c>
      <c r="B1" t="s">
        <v>67</v>
      </c>
      <c r="C1" t="s">
        <v>82</v>
      </c>
    </row>
    <row r="2" spans="1:4" x14ac:dyDescent="0.35">
      <c r="A2">
        <v>0</v>
      </c>
      <c r="B2">
        <v>10</v>
      </c>
      <c r="C2" t="s">
        <v>84</v>
      </c>
      <c r="D2" t="str">
        <f t="shared" ref="D2:D7" si="0">A2&amp;C2</f>
        <v>0c1</v>
      </c>
    </row>
    <row r="3" spans="1:4" x14ac:dyDescent="0.35">
      <c r="A3">
        <v>1</v>
      </c>
      <c r="B3">
        <v>20</v>
      </c>
      <c r="C3" t="s">
        <v>86</v>
      </c>
      <c r="D3" t="str">
        <f t="shared" si="0"/>
        <v>1c3</v>
      </c>
    </row>
    <row r="4" spans="1:4" x14ac:dyDescent="0.35">
      <c r="A4">
        <v>2</v>
      </c>
      <c r="B4">
        <v>30</v>
      </c>
      <c r="C4" t="s">
        <v>83</v>
      </c>
      <c r="D4" t="str">
        <f t="shared" si="0"/>
        <v>2c0</v>
      </c>
    </row>
    <row r="5" spans="1:4" x14ac:dyDescent="0.35">
      <c r="A5">
        <v>3</v>
      </c>
      <c r="B5">
        <v>40</v>
      </c>
      <c r="C5" t="s">
        <v>87</v>
      </c>
      <c r="D5" t="str">
        <f t="shared" si="0"/>
        <v>3c4</v>
      </c>
    </row>
    <row r="6" spans="1:4" x14ac:dyDescent="0.35">
      <c r="A6">
        <v>4</v>
      </c>
      <c r="B6">
        <v>50</v>
      </c>
      <c r="C6" t="s">
        <v>85</v>
      </c>
      <c r="D6" t="str">
        <f t="shared" si="0"/>
        <v>4c2</v>
      </c>
    </row>
    <row r="7" spans="1:4" x14ac:dyDescent="0.35">
      <c r="A7">
        <v>5</v>
      </c>
      <c r="B7">
        <v>60</v>
      </c>
      <c r="C7" t="s">
        <v>88</v>
      </c>
      <c r="D7" t="str">
        <f t="shared" si="0"/>
        <v>5c5</v>
      </c>
    </row>
  </sheetData>
  <sortState xmlns:xlrd2="http://schemas.microsoft.com/office/spreadsheetml/2017/richdata2" ref="B2:C7">
    <sortCondition ref="B2:B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2835-1A32-4724-A6E1-A19AEA444E69}">
  <dimension ref="A1:C6"/>
  <sheetViews>
    <sheetView workbookViewId="0">
      <selection sqref="A1:C6"/>
    </sheetView>
  </sheetViews>
  <sheetFormatPr defaultRowHeight="14.5" x14ac:dyDescent="0.35"/>
  <sheetData>
    <row r="1" spans="1:3" x14ac:dyDescent="0.35">
      <c r="A1">
        <v>1</v>
      </c>
      <c r="B1">
        <v>10</v>
      </c>
      <c r="C1" t="s">
        <v>84</v>
      </c>
    </row>
    <row r="2" spans="1:3" x14ac:dyDescent="0.35">
      <c r="A2">
        <v>3</v>
      </c>
      <c r="B2">
        <v>20</v>
      </c>
      <c r="C2" t="s">
        <v>86</v>
      </c>
    </row>
    <row r="3" spans="1:3" x14ac:dyDescent="0.35">
      <c r="A3">
        <v>0</v>
      </c>
      <c r="B3">
        <v>30</v>
      </c>
      <c r="C3" t="s">
        <v>83</v>
      </c>
    </row>
    <row r="4" spans="1:3" x14ac:dyDescent="0.35">
      <c r="A4">
        <v>4</v>
      </c>
      <c r="B4">
        <v>40</v>
      </c>
      <c r="C4" t="s">
        <v>87</v>
      </c>
    </row>
    <row r="5" spans="1:3" x14ac:dyDescent="0.35">
      <c r="A5">
        <v>2</v>
      </c>
      <c r="B5">
        <v>50</v>
      </c>
      <c r="C5" t="s">
        <v>85</v>
      </c>
    </row>
    <row r="6" spans="1:3" x14ac:dyDescent="0.35">
      <c r="A6">
        <v>5</v>
      </c>
      <c r="B6">
        <v>60</v>
      </c>
      <c r="C6" t="s">
        <v>88</v>
      </c>
    </row>
  </sheetData>
  <sortState xmlns:xlrd2="http://schemas.microsoft.com/office/spreadsheetml/2017/richdata2" ref="A1:C6">
    <sortCondition ref="B1:B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C981-F066-43AF-BA24-04C36A13F96F}">
  <dimension ref="A1:C7"/>
  <sheetViews>
    <sheetView workbookViewId="0">
      <selection activeCell="A2" sqref="A2:C7"/>
    </sheetView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3</v>
      </c>
      <c r="B2">
        <v>20</v>
      </c>
      <c r="C2" t="s">
        <v>86</v>
      </c>
    </row>
    <row r="3" spans="1:3" hidden="1" x14ac:dyDescent="0.35">
      <c r="A3">
        <v>1</v>
      </c>
      <c r="B3">
        <v>10</v>
      </c>
      <c r="C3" t="s">
        <v>84</v>
      </c>
    </row>
    <row r="4" spans="1:3" x14ac:dyDescent="0.35">
      <c r="A4">
        <v>0</v>
      </c>
      <c r="B4">
        <v>30</v>
      </c>
      <c r="C4" t="s">
        <v>83</v>
      </c>
    </row>
    <row r="5" spans="1:3" x14ac:dyDescent="0.35">
      <c r="A5">
        <v>2</v>
      </c>
      <c r="B5">
        <v>50</v>
      </c>
      <c r="C5" t="s">
        <v>85</v>
      </c>
    </row>
    <row r="6" spans="1:3" hidden="1" x14ac:dyDescent="0.35">
      <c r="A6">
        <v>4</v>
      </c>
      <c r="B6">
        <v>40</v>
      </c>
      <c r="C6" t="s">
        <v>87</v>
      </c>
    </row>
    <row r="7" spans="1:3" x14ac:dyDescent="0.35">
      <c r="A7">
        <v>5</v>
      </c>
      <c r="B7">
        <v>60</v>
      </c>
      <c r="C7" t="s">
        <v>88</v>
      </c>
    </row>
  </sheetData>
  <sortState xmlns:xlrd2="http://schemas.microsoft.com/office/spreadsheetml/2017/richdata2" ref="A2:C7">
    <sortCondition ref="B2:B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F8D7-335D-47A6-90F6-18279CE6E866}">
  <sheetPr filterMode="1"/>
  <dimension ref="A1:C7"/>
  <sheetViews>
    <sheetView workbookViewId="0">
      <selection activeCell="A2" sqref="A2:C7"/>
    </sheetView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5</v>
      </c>
      <c r="B2">
        <v>60</v>
      </c>
      <c r="C2" t="s">
        <v>88</v>
      </c>
    </row>
    <row r="3" spans="1:3" hidden="1" x14ac:dyDescent="0.35">
      <c r="A3">
        <v>1</v>
      </c>
      <c r="B3">
        <v>10</v>
      </c>
      <c r="C3" t="s">
        <v>84</v>
      </c>
    </row>
    <row r="4" spans="1:3" x14ac:dyDescent="0.35">
      <c r="A4">
        <v>2</v>
      </c>
      <c r="B4">
        <v>50</v>
      </c>
      <c r="C4" t="s">
        <v>85</v>
      </c>
    </row>
    <row r="5" spans="1:3" hidden="1" x14ac:dyDescent="0.35">
      <c r="A5">
        <v>3</v>
      </c>
      <c r="B5">
        <v>20</v>
      </c>
      <c r="C5" t="s">
        <v>86</v>
      </c>
    </row>
    <row r="6" spans="1:3" x14ac:dyDescent="0.35">
      <c r="A6">
        <v>4</v>
      </c>
      <c r="B6">
        <v>40</v>
      </c>
      <c r="C6" t="s">
        <v>87</v>
      </c>
    </row>
    <row r="7" spans="1:3" x14ac:dyDescent="0.35">
      <c r="A7">
        <v>0</v>
      </c>
      <c r="B7">
        <v>30</v>
      </c>
      <c r="C7" t="s">
        <v>83</v>
      </c>
    </row>
  </sheetData>
  <autoFilter ref="A1:C7" xr:uid="{C6A1F8D7-335D-47A6-90F6-18279CE6E866}">
    <filterColumn colId="1">
      <customFilters>
        <customFilter operator="greaterThan" val="25"/>
      </customFilters>
    </filterColumn>
  </autoFilter>
  <sortState xmlns:xlrd2="http://schemas.microsoft.com/office/spreadsheetml/2017/richdata2" ref="A2:C7">
    <sortCondition descending="1" ref="B2:B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F2E7-A9B9-4649-8725-97143D7C65BC}">
  <dimension ref="A1:C9"/>
  <sheetViews>
    <sheetView workbookViewId="0">
      <selection activeCell="A2" sqref="A2:C9"/>
    </sheetView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5</v>
      </c>
      <c r="B2">
        <v>5</v>
      </c>
      <c r="C2" t="s">
        <v>90</v>
      </c>
    </row>
    <row r="3" spans="1:3" x14ac:dyDescent="0.35">
      <c r="A3">
        <v>2</v>
      </c>
      <c r="B3">
        <v>10</v>
      </c>
      <c r="C3" t="s">
        <v>87</v>
      </c>
    </row>
    <row r="4" spans="1:3" x14ac:dyDescent="0.35">
      <c r="A4">
        <v>7</v>
      </c>
      <c r="B4">
        <v>15</v>
      </c>
      <c r="C4" t="s">
        <v>91</v>
      </c>
    </row>
    <row r="5" spans="1:3" x14ac:dyDescent="0.35">
      <c r="A5">
        <v>0</v>
      </c>
      <c r="B5">
        <v>20</v>
      </c>
      <c r="C5" t="s">
        <v>85</v>
      </c>
    </row>
    <row r="6" spans="1:3" x14ac:dyDescent="0.35">
      <c r="A6">
        <v>4</v>
      </c>
      <c r="B6" t="str">
        <f>""</f>
        <v/>
      </c>
      <c r="C6" t="s">
        <v>89</v>
      </c>
    </row>
    <row r="7" spans="1:3" x14ac:dyDescent="0.35">
      <c r="A7">
        <v>1</v>
      </c>
      <c r="C7" t="s">
        <v>86</v>
      </c>
    </row>
    <row r="9" spans="1:3" x14ac:dyDescent="0.35">
      <c r="A9" s="10"/>
      <c r="B9" s="10"/>
      <c r="C9" s="10"/>
    </row>
  </sheetData>
  <sortState xmlns:xlrd2="http://schemas.microsoft.com/office/spreadsheetml/2017/richdata2" ref="A2:C9">
    <sortCondition ref="B2:B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65F4-84E3-4444-B571-736BF8D93F3B}">
  <dimension ref="B1:F8"/>
  <sheetViews>
    <sheetView workbookViewId="0">
      <selection activeCell="A2" sqref="A2:F8"/>
    </sheetView>
  </sheetViews>
  <sheetFormatPr defaultRowHeight="14.5" x14ac:dyDescent="0.35"/>
  <sheetData>
    <row r="1" spans="2:6" x14ac:dyDescent="0.35">
      <c r="B1" t="s">
        <v>67</v>
      </c>
    </row>
    <row r="2" spans="2:6" x14ac:dyDescent="0.35">
      <c r="B2">
        <v>1</v>
      </c>
      <c r="D2" t="s">
        <v>96</v>
      </c>
    </row>
    <row r="3" spans="2:6" x14ac:dyDescent="0.35">
      <c r="B3">
        <v>2</v>
      </c>
      <c r="D3" t="s">
        <v>95</v>
      </c>
    </row>
    <row r="4" spans="2:6" x14ac:dyDescent="0.35">
      <c r="B4">
        <v>3</v>
      </c>
      <c r="D4" t="s">
        <v>94</v>
      </c>
    </row>
    <row r="5" spans="2:6" x14ac:dyDescent="0.35">
      <c r="B5">
        <v>4</v>
      </c>
      <c r="D5" t="s">
        <v>93</v>
      </c>
    </row>
    <row r="6" spans="2:6" x14ac:dyDescent="0.35">
      <c r="B6">
        <v>5</v>
      </c>
      <c r="D6" t="s">
        <v>92</v>
      </c>
    </row>
    <row r="8" spans="2:6" x14ac:dyDescent="0.35">
      <c r="F8" t="s">
        <v>97</v>
      </c>
    </row>
  </sheetData>
  <sortState xmlns:xlrd2="http://schemas.microsoft.com/office/spreadsheetml/2017/richdata2" ref="A2:F8">
    <sortCondition ref="B2:B20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7DD2-86E9-4B63-A588-765E8EA5085F}">
  <dimension ref="A1:E9"/>
  <sheetViews>
    <sheetView workbookViewId="0">
      <selection activeCell="A2" sqref="A2:D6"/>
    </sheetView>
  </sheetViews>
  <sheetFormatPr defaultRowHeight="14.5" x14ac:dyDescent="0.35"/>
  <sheetData>
    <row r="1" spans="1:5" x14ac:dyDescent="0.35">
      <c r="A1" t="s">
        <v>0</v>
      </c>
      <c r="B1" t="s">
        <v>67</v>
      </c>
    </row>
    <row r="2" spans="1:5" x14ac:dyDescent="0.35">
      <c r="A2">
        <v>1</v>
      </c>
      <c r="B2">
        <v>10</v>
      </c>
      <c r="C2">
        <f>B2*2</f>
        <v>20</v>
      </c>
      <c r="D2">
        <f>B2+A2</f>
        <v>11</v>
      </c>
      <c r="E2">
        <f t="shared" ref="E2:E6" si="0">B2+1</f>
        <v>11</v>
      </c>
    </row>
    <row r="3" spans="1:5" x14ac:dyDescent="0.35">
      <c r="A3">
        <v>3</v>
      </c>
      <c r="B3">
        <v>20</v>
      </c>
      <c r="C3">
        <f>B3*2</f>
        <v>40</v>
      </c>
      <c r="D3">
        <f>B3+A3</f>
        <v>23</v>
      </c>
      <c r="E3">
        <f t="shared" si="0"/>
        <v>21</v>
      </c>
    </row>
    <row r="4" spans="1:5" x14ac:dyDescent="0.35">
      <c r="A4">
        <v>0</v>
      </c>
      <c r="B4">
        <v>30</v>
      </c>
      <c r="C4">
        <f>B4*2</f>
        <v>60</v>
      </c>
      <c r="D4">
        <f>B4+A4</f>
        <v>30</v>
      </c>
      <c r="E4">
        <f t="shared" si="0"/>
        <v>31</v>
      </c>
    </row>
    <row r="5" spans="1:5" x14ac:dyDescent="0.35">
      <c r="A5">
        <v>4</v>
      </c>
      <c r="B5">
        <v>40</v>
      </c>
      <c r="C5">
        <f>B5*2</f>
        <v>80</v>
      </c>
      <c r="D5">
        <f>B5+A5</f>
        <v>44</v>
      </c>
      <c r="E5">
        <f t="shared" si="0"/>
        <v>41</v>
      </c>
    </row>
    <row r="6" spans="1:5" x14ac:dyDescent="0.35">
      <c r="A6">
        <v>2</v>
      </c>
      <c r="B6">
        <v>50</v>
      </c>
      <c r="C6">
        <f>B6*2</f>
        <v>100</v>
      </c>
      <c r="D6">
        <f>B6+A6</f>
        <v>52</v>
      </c>
      <c r="E6">
        <f t="shared" si="0"/>
        <v>51</v>
      </c>
    </row>
    <row r="7" spans="1:5" x14ac:dyDescent="0.35">
      <c r="D7">
        <f t="shared" ref="D2:D9" si="1">B7+A7</f>
        <v>0</v>
      </c>
    </row>
    <row r="8" spans="1:5" x14ac:dyDescent="0.35">
      <c r="D8">
        <f t="shared" si="1"/>
        <v>0</v>
      </c>
    </row>
    <row r="9" spans="1:5" x14ac:dyDescent="0.35">
      <c r="D9">
        <f t="shared" si="1"/>
        <v>0</v>
      </c>
    </row>
  </sheetData>
  <sortState xmlns:xlrd2="http://schemas.microsoft.com/office/spreadsheetml/2017/richdata2" ref="A2:D6">
    <sortCondition ref="B2:B6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7957-309F-4B9E-BC67-5D34C31B106B}">
  <dimension ref="A1:D7"/>
  <sheetViews>
    <sheetView workbookViewId="0">
      <selection activeCell="A2" sqref="A2:D7"/>
    </sheetView>
  </sheetViews>
  <sheetFormatPr defaultRowHeight="14.5" x14ac:dyDescent="0.35"/>
  <sheetData>
    <row r="1" spans="1:4" x14ac:dyDescent="0.35">
      <c r="A1" t="s">
        <v>0</v>
      </c>
      <c r="B1" t="s">
        <v>67</v>
      </c>
      <c r="C1" t="s">
        <v>82</v>
      </c>
    </row>
    <row r="2" spans="1:4" x14ac:dyDescent="0.35">
      <c r="A2">
        <v>0</v>
      </c>
      <c r="B2">
        <v>30</v>
      </c>
      <c r="C2" s="11" t="s">
        <v>83</v>
      </c>
      <c r="D2" s="11"/>
    </row>
    <row r="3" spans="1:4" x14ac:dyDescent="0.35">
      <c r="A3">
        <v>1</v>
      </c>
      <c r="B3">
        <v>10</v>
      </c>
      <c r="C3" t="s">
        <v>84</v>
      </c>
    </row>
    <row r="4" spans="1:4" x14ac:dyDescent="0.35">
      <c r="A4">
        <v>2</v>
      </c>
      <c r="B4">
        <v>50</v>
      </c>
      <c r="C4" t="s">
        <v>85</v>
      </c>
    </row>
    <row r="5" spans="1:4" x14ac:dyDescent="0.35">
      <c r="A5">
        <v>3</v>
      </c>
      <c r="B5">
        <v>20</v>
      </c>
      <c r="C5" t="s">
        <v>86</v>
      </c>
    </row>
    <row r="6" spans="1:4" x14ac:dyDescent="0.35">
      <c r="A6">
        <v>4</v>
      </c>
      <c r="B6">
        <v>40</v>
      </c>
      <c r="C6" t="s">
        <v>87</v>
      </c>
    </row>
    <row r="7" spans="1:4" x14ac:dyDescent="0.35">
      <c r="A7">
        <v>5</v>
      </c>
      <c r="B7">
        <v>60</v>
      </c>
      <c r="C7" t="s">
        <v>88</v>
      </c>
    </row>
  </sheetData>
  <sortState xmlns:xlrd2="http://schemas.microsoft.com/office/spreadsheetml/2017/richdata2" ref="A2:D7">
    <sortCondition ref="B2:B7"/>
  </sortState>
  <mergeCells count="1">
    <mergeCell ref="C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A9D5-7F51-43F4-9052-F699C3CA1417}">
  <dimension ref="A1:D7"/>
  <sheetViews>
    <sheetView workbookViewId="0">
      <selection activeCell="A2" sqref="A2:D7"/>
    </sheetView>
  </sheetViews>
  <sheetFormatPr defaultRowHeight="14.5" x14ac:dyDescent="0.35"/>
  <sheetData>
    <row r="1" spans="1:4" x14ac:dyDescent="0.35">
      <c r="A1" t="s">
        <v>0</v>
      </c>
      <c r="B1" t="s">
        <v>67</v>
      </c>
      <c r="C1" t="s">
        <v>82</v>
      </c>
    </row>
    <row r="2" spans="1:4" x14ac:dyDescent="0.35">
      <c r="A2">
        <v>0</v>
      </c>
      <c r="B2">
        <v>30</v>
      </c>
      <c r="C2" t="s">
        <v>83</v>
      </c>
    </row>
    <row r="3" spans="1:4" x14ac:dyDescent="0.35">
      <c r="A3">
        <v>1</v>
      </c>
      <c r="B3">
        <v>10</v>
      </c>
      <c r="C3" t="s">
        <v>84</v>
      </c>
      <c r="D3">
        <f t="array" ref="D3:D4">B3:B4*2</f>
        <v>20</v>
      </c>
    </row>
    <row r="4" spans="1:4" x14ac:dyDescent="0.35">
      <c r="A4">
        <v>2</v>
      </c>
      <c r="B4">
        <v>50</v>
      </c>
      <c r="C4" t="s">
        <v>85</v>
      </c>
      <c r="D4">
        <v>100</v>
      </c>
    </row>
    <row r="5" spans="1:4" x14ac:dyDescent="0.35">
      <c r="A5">
        <v>3</v>
      </c>
      <c r="B5">
        <v>20</v>
      </c>
      <c r="C5" t="s">
        <v>86</v>
      </c>
    </row>
    <row r="6" spans="1:4" x14ac:dyDescent="0.35">
      <c r="A6">
        <v>4</v>
      </c>
      <c r="B6">
        <v>40</v>
      </c>
      <c r="C6" t="s">
        <v>87</v>
      </c>
    </row>
    <row r="7" spans="1:4" x14ac:dyDescent="0.35">
      <c r="A7">
        <v>5</v>
      </c>
      <c r="B7">
        <v>60</v>
      </c>
      <c r="C7" t="s">
        <v>88</v>
      </c>
    </row>
  </sheetData>
  <sortState xmlns:xlrd2="http://schemas.microsoft.com/office/spreadsheetml/2017/richdata2" ref="A2:D7">
    <sortCondition ref="B2:B7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1E5C-7639-475C-8C32-E2D882202C42}">
  <dimension ref="A1:D7"/>
  <sheetViews>
    <sheetView workbookViewId="0">
      <selection activeCell="A2" sqref="A2:D7"/>
    </sheetView>
  </sheetViews>
  <sheetFormatPr defaultRowHeight="14.5" x14ac:dyDescent="0.35"/>
  <sheetData>
    <row r="1" spans="1:4" x14ac:dyDescent="0.35">
      <c r="A1" t="s">
        <v>0</v>
      </c>
      <c r="B1" t="s">
        <v>67</v>
      </c>
      <c r="C1" t="s">
        <v>82</v>
      </c>
    </row>
    <row r="2" spans="1:4" x14ac:dyDescent="0.35">
      <c r="A2">
        <v>1</v>
      </c>
      <c r="B2">
        <v>10</v>
      </c>
      <c r="C2" t="s">
        <v>84</v>
      </c>
    </row>
    <row r="3" spans="1:4" x14ac:dyDescent="0.35">
      <c r="A3">
        <v>3</v>
      </c>
      <c r="B3">
        <v>20</v>
      </c>
      <c r="C3" t="s">
        <v>86</v>
      </c>
    </row>
    <row r="4" spans="1:4" x14ac:dyDescent="0.35">
      <c r="A4">
        <v>0</v>
      </c>
      <c r="B4">
        <v>30</v>
      </c>
      <c r="C4" t="s">
        <v>83</v>
      </c>
    </row>
    <row r="5" spans="1:4" x14ac:dyDescent="0.35">
      <c r="A5">
        <v>4</v>
      </c>
      <c r="B5">
        <v>40</v>
      </c>
      <c r="C5" t="s">
        <v>87</v>
      </c>
    </row>
    <row r="6" spans="1:4" x14ac:dyDescent="0.35">
      <c r="A6">
        <v>2</v>
      </c>
      <c r="B6">
        <v>50</v>
      </c>
      <c r="C6">
        <f t="array" ref="C6:D6">B6*{1,2}</f>
        <v>50</v>
      </c>
      <c r="D6">
        <v>100</v>
      </c>
    </row>
    <row r="7" spans="1:4" x14ac:dyDescent="0.35">
      <c r="A7">
        <v>5</v>
      </c>
      <c r="B7">
        <v>60</v>
      </c>
      <c r="C7" t="s">
        <v>88</v>
      </c>
    </row>
  </sheetData>
  <sortState xmlns:xlrd2="http://schemas.microsoft.com/office/spreadsheetml/2017/richdata2" ref="A2:D7">
    <sortCondition ref="B2:B7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681B-7E80-44EC-A1B0-20FE49C13497}">
  <dimension ref="A1:D7"/>
  <sheetViews>
    <sheetView workbookViewId="0">
      <selection activeCell="A2" sqref="A2:D7"/>
    </sheetView>
  </sheetViews>
  <sheetFormatPr defaultRowHeight="14.5" x14ac:dyDescent="0.35"/>
  <sheetData>
    <row r="1" spans="1:4" x14ac:dyDescent="0.35">
      <c r="A1" t="s">
        <v>0</v>
      </c>
      <c r="B1" t="s">
        <v>67</v>
      </c>
      <c r="C1" t="s">
        <v>82</v>
      </c>
    </row>
    <row r="2" spans="1:4" x14ac:dyDescent="0.35">
      <c r="A2">
        <v>0</v>
      </c>
      <c r="B2">
        <v>30</v>
      </c>
      <c r="C2" t="s">
        <v>83</v>
      </c>
      <c r="D2" cm="1">
        <f t="array" ref="D2:D4">_xlfn.SEQUENCE(3)</f>
        <v>1</v>
      </c>
    </row>
    <row r="3" spans="1:4" x14ac:dyDescent="0.35">
      <c r="A3">
        <v>1</v>
      </c>
      <c r="B3">
        <v>10</v>
      </c>
      <c r="C3" t="s">
        <v>84</v>
      </c>
      <c r="D3">
        <v>2</v>
      </c>
    </row>
    <row r="4" spans="1:4" x14ac:dyDescent="0.35">
      <c r="A4">
        <v>2</v>
      </c>
      <c r="B4">
        <v>50</v>
      </c>
      <c r="C4" t="s">
        <v>85</v>
      </c>
      <c r="D4">
        <v>3</v>
      </c>
    </row>
    <row r="5" spans="1:4" x14ac:dyDescent="0.35">
      <c r="A5">
        <v>3</v>
      </c>
      <c r="B5">
        <v>20</v>
      </c>
      <c r="C5" t="s">
        <v>86</v>
      </c>
    </row>
    <row r="6" spans="1:4" x14ac:dyDescent="0.35">
      <c r="A6">
        <v>4</v>
      </c>
      <c r="B6">
        <v>40</v>
      </c>
      <c r="C6" t="s">
        <v>87</v>
      </c>
    </row>
    <row r="7" spans="1:4" x14ac:dyDescent="0.35">
      <c r="A7">
        <v>5</v>
      </c>
      <c r="B7">
        <v>60</v>
      </c>
      <c r="C7" t="s">
        <v>88</v>
      </c>
    </row>
  </sheetData>
  <sortState xmlns:xlrd2="http://schemas.microsoft.com/office/spreadsheetml/2017/richdata2" ref="A2:D7">
    <sortCondition ref="B2:B7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AEBC-573E-43D5-94EE-21CEBE4D649A}">
  <dimension ref="A1:C12"/>
  <sheetViews>
    <sheetView workbookViewId="0">
      <selection activeCell="A2" sqref="A2:C12"/>
    </sheetView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3</v>
      </c>
      <c r="B2" t="e">
        <v>#N/A</v>
      </c>
      <c r="C2" t="s">
        <v>99</v>
      </c>
    </row>
    <row r="3" spans="1:3" x14ac:dyDescent="0.35">
      <c r="A3">
        <v>10</v>
      </c>
      <c r="B3" t="e">
        <v>#DIV/0!</v>
      </c>
      <c r="C3" t="s">
        <v>67</v>
      </c>
    </row>
    <row r="4" spans="1:3" x14ac:dyDescent="0.35">
      <c r="A4">
        <v>2</v>
      </c>
      <c r="B4" t="b">
        <v>1</v>
      </c>
      <c r="C4" t="s">
        <v>82</v>
      </c>
    </row>
    <row r="5" spans="1:3" x14ac:dyDescent="0.35">
      <c r="A5">
        <v>6</v>
      </c>
      <c r="B5" t="b">
        <v>0</v>
      </c>
      <c r="C5" t="s">
        <v>102</v>
      </c>
    </row>
    <row r="6" spans="1:3" x14ac:dyDescent="0.35">
      <c r="A6">
        <v>9</v>
      </c>
      <c r="B6" s="1" t="s">
        <v>98</v>
      </c>
      <c r="C6" t="s">
        <v>104</v>
      </c>
    </row>
    <row r="7" spans="1:3" x14ac:dyDescent="0.35">
      <c r="A7">
        <v>4</v>
      </c>
      <c r="B7" s="1" t="s">
        <v>3</v>
      </c>
      <c r="C7" t="s">
        <v>100</v>
      </c>
    </row>
    <row r="8" spans="1:3" x14ac:dyDescent="0.35">
      <c r="A8">
        <v>0</v>
      </c>
      <c r="B8" s="12">
        <v>43845</v>
      </c>
      <c r="C8" t="s">
        <v>6</v>
      </c>
    </row>
    <row r="9" spans="1:3" x14ac:dyDescent="0.35">
      <c r="A9">
        <v>7</v>
      </c>
      <c r="B9" s="12">
        <f>DATE(1999,1,1)</f>
        <v>36161</v>
      </c>
      <c r="C9" t="s">
        <v>103</v>
      </c>
    </row>
    <row r="10" spans="1:3" x14ac:dyDescent="0.35">
      <c r="A10">
        <v>5</v>
      </c>
      <c r="B10">
        <v>9</v>
      </c>
      <c r="C10" t="s">
        <v>101</v>
      </c>
    </row>
    <row r="11" spans="1:3" x14ac:dyDescent="0.35">
      <c r="A11">
        <v>1</v>
      </c>
      <c r="B11" s="13">
        <v>0.52083333333333337</v>
      </c>
      <c r="C11" t="s">
        <v>8</v>
      </c>
    </row>
    <row r="12" spans="1:3" x14ac:dyDescent="0.35">
      <c r="A12">
        <v>8</v>
      </c>
      <c r="B12">
        <v>0.25</v>
      </c>
      <c r="C12" t="s">
        <v>0</v>
      </c>
    </row>
  </sheetData>
  <sortState xmlns:xlrd2="http://schemas.microsoft.com/office/spreadsheetml/2017/richdata2" ref="A2:C12">
    <sortCondition descending="1" ref="B2:B12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DF8E-E536-49BA-96B1-CB115646D1BA}">
  <dimension ref="A1:F8"/>
  <sheetViews>
    <sheetView workbookViewId="0">
      <selection activeCell="A2" sqref="A2:D7"/>
    </sheetView>
  </sheetViews>
  <sheetFormatPr defaultRowHeight="14.5" x14ac:dyDescent="0.35"/>
  <sheetData>
    <row r="1" spans="1:6" x14ac:dyDescent="0.35">
      <c r="A1" t="s">
        <v>0</v>
      </c>
      <c r="B1" t="s">
        <v>67</v>
      </c>
      <c r="C1" t="s">
        <v>82</v>
      </c>
      <c r="D1" t="s">
        <v>105</v>
      </c>
    </row>
    <row r="2" spans="1:6" x14ac:dyDescent="0.35">
      <c r="A2">
        <v>5</v>
      </c>
      <c r="B2">
        <v>60</v>
      </c>
      <c r="C2" t="s">
        <v>88</v>
      </c>
      <c r="D2">
        <f>Sales[[#This Row],[k]]*2</f>
        <v>120</v>
      </c>
      <c r="F2">
        <f>B3</f>
        <v>50</v>
      </c>
    </row>
    <row r="3" spans="1:6" x14ac:dyDescent="0.35">
      <c r="A3">
        <v>2</v>
      </c>
      <c r="B3">
        <v>50</v>
      </c>
      <c r="C3" t="s">
        <v>85</v>
      </c>
      <c r="D3">
        <f>Sales[[#This Row],[k]]*2</f>
        <v>100</v>
      </c>
    </row>
    <row r="4" spans="1:6" x14ac:dyDescent="0.35">
      <c r="A4">
        <v>4</v>
      </c>
      <c r="B4">
        <v>40</v>
      </c>
      <c r="C4" t="s">
        <v>87</v>
      </c>
      <c r="D4">
        <f>Sales[[#This Row],[k]]*2</f>
        <v>80</v>
      </c>
    </row>
    <row r="5" spans="1:6" x14ac:dyDescent="0.35">
      <c r="A5">
        <v>0</v>
      </c>
      <c r="B5">
        <v>30</v>
      </c>
      <c r="C5" t="s">
        <v>83</v>
      </c>
      <c r="D5">
        <f>Sales[[#This Row],[k]]*2</f>
        <v>60</v>
      </c>
    </row>
    <row r="6" spans="1:6" x14ac:dyDescent="0.35">
      <c r="A6">
        <v>3</v>
      </c>
      <c r="B6">
        <v>20</v>
      </c>
      <c r="C6" t="s">
        <v>86</v>
      </c>
      <c r="D6">
        <f>Sales[[#This Row],[k]]*2</f>
        <v>40</v>
      </c>
    </row>
    <row r="7" spans="1:6" x14ac:dyDescent="0.35">
      <c r="A7">
        <v>1</v>
      </c>
      <c r="B7">
        <v>10</v>
      </c>
      <c r="C7" t="s">
        <v>84</v>
      </c>
      <c r="D7">
        <f>Sales[[#This Row],[k]]*2</f>
        <v>20</v>
      </c>
    </row>
    <row r="8" spans="1:6" x14ac:dyDescent="0.35">
      <c r="A8" t="s">
        <v>106</v>
      </c>
      <c r="B8">
        <f>SUBTOTAL(109,Sales[k])</f>
        <v>210</v>
      </c>
      <c r="D8">
        <f>SUBTOTAL(109,Sales[calc])</f>
        <v>420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9FEE-5707-4E64-8FC9-C248113A31BC}">
  <dimension ref="C3:E8"/>
  <sheetViews>
    <sheetView workbookViewId="0">
      <selection activeCell="C4" sqref="C4:E8"/>
    </sheetView>
  </sheetViews>
  <sheetFormatPr defaultRowHeight="14.5" x14ac:dyDescent="0.35"/>
  <sheetData>
    <row r="3" spans="3:5" x14ac:dyDescent="0.35">
      <c r="C3" t="s">
        <v>0</v>
      </c>
      <c r="D3" t="s">
        <v>67</v>
      </c>
      <c r="E3" t="s">
        <v>82</v>
      </c>
    </row>
    <row r="4" spans="3:5" x14ac:dyDescent="0.35">
      <c r="C4">
        <v>1</v>
      </c>
      <c r="D4">
        <v>10</v>
      </c>
      <c r="E4" t="s">
        <v>7</v>
      </c>
    </row>
    <row r="5" spans="3:5" x14ac:dyDescent="0.35">
      <c r="C5">
        <v>0</v>
      </c>
      <c r="D5">
        <v>10</v>
      </c>
      <c r="E5" t="s">
        <v>8</v>
      </c>
    </row>
    <row r="6" spans="3:5" x14ac:dyDescent="0.35">
      <c r="C6">
        <v>3</v>
      </c>
      <c r="D6">
        <v>10</v>
      </c>
      <c r="E6" t="s">
        <v>9</v>
      </c>
    </row>
    <row r="7" spans="3:5" x14ac:dyDescent="0.35">
      <c r="C7">
        <v>4</v>
      </c>
      <c r="D7">
        <v>20</v>
      </c>
      <c r="E7" t="s">
        <v>8</v>
      </c>
    </row>
    <row r="8" spans="3:5" x14ac:dyDescent="0.35">
      <c r="C8">
        <v>2</v>
      </c>
      <c r="D8">
        <v>20</v>
      </c>
      <c r="E8" t="s">
        <v>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D99B-A66B-4891-A60A-D01E9D27454D}">
  <dimension ref="A1:C7"/>
  <sheetViews>
    <sheetView workbookViewId="0">
      <selection activeCell="A2" sqref="A2:C7"/>
    </sheetView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5</v>
      </c>
      <c r="B2">
        <v>60</v>
      </c>
      <c r="C2" t="s">
        <v>88</v>
      </c>
    </row>
    <row r="3" spans="1:3" hidden="1" x14ac:dyDescent="0.35">
      <c r="A3">
        <v>1</v>
      </c>
      <c r="B3">
        <v>10</v>
      </c>
      <c r="C3" t="s">
        <v>84</v>
      </c>
    </row>
    <row r="4" spans="1:3" x14ac:dyDescent="0.35">
      <c r="A4">
        <v>2</v>
      </c>
      <c r="B4">
        <v>50</v>
      </c>
      <c r="C4" t="s">
        <v>85</v>
      </c>
    </row>
    <row r="5" spans="1:3" hidden="1" x14ac:dyDescent="0.35">
      <c r="A5">
        <v>3</v>
      </c>
      <c r="B5">
        <v>20</v>
      </c>
      <c r="C5" t="s">
        <v>86</v>
      </c>
    </row>
    <row r="6" spans="1:3" x14ac:dyDescent="0.35">
      <c r="A6">
        <v>4</v>
      </c>
      <c r="B6">
        <v>40</v>
      </c>
      <c r="C6" t="s">
        <v>87</v>
      </c>
    </row>
    <row r="7" spans="1:3" x14ac:dyDescent="0.35">
      <c r="A7">
        <v>0</v>
      </c>
      <c r="B7">
        <v>30</v>
      </c>
      <c r="C7" t="s">
        <v>83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1948-7891-46AB-B2E2-9C5AD8145912}">
  <dimension ref="A2:C7"/>
  <sheetViews>
    <sheetView workbookViewId="0">
      <selection activeCell="A2" sqref="A2:C7"/>
    </sheetView>
  </sheetViews>
  <sheetFormatPr defaultRowHeight="14.5" x14ac:dyDescent="0.35"/>
  <sheetData>
    <row r="2" spans="1:3" x14ac:dyDescent="0.35">
      <c r="A2">
        <v>1</v>
      </c>
      <c r="B2">
        <v>10</v>
      </c>
      <c r="C2" t="s">
        <v>84</v>
      </c>
    </row>
    <row r="3" spans="1:3" x14ac:dyDescent="0.35">
      <c r="A3">
        <v>3</v>
      </c>
      <c r="B3">
        <v>20</v>
      </c>
      <c r="C3" t="s">
        <v>86</v>
      </c>
    </row>
    <row r="4" spans="1:3" x14ac:dyDescent="0.35">
      <c r="A4">
        <v>0</v>
      </c>
      <c r="B4">
        <v>30</v>
      </c>
      <c r="C4" t="s">
        <v>83</v>
      </c>
    </row>
    <row r="5" spans="1:3" x14ac:dyDescent="0.35">
      <c r="A5">
        <v>4</v>
      </c>
      <c r="B5">
        <v>40</v>
      </c>
      <c r="C5" t="s">
        <v>87</v>
      </c>
    </row>
    <row r="6" spans="1:3" x14ac:dyDescent="0.35">
      <c r="A6">
        <v>2</v>
      </c>
      <c r="B6">
        <v>50</v>
      </c>
      <c r="C6" t="s">
        <v>85</v>
      </c>
    </row>
    <row r="7" spans="1:3" x14ac:dyDescent="0.35">
      <c r="A7">
        <v>5</v>
      </c>
      <c r="B7">
        <v>60</v>
      </c>
      <c r="C7" t="s">
        <v>88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E6-6A6B-44B7-A925-BBB4BA656ABE}">
  <dimension ref="A1:C8"/>
  <sheetViews>
    <sheetView workbookViewId="0">
      <selection activeCell="A2" sqref="A2:C8"/>
    </sheetView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 t="s">
        <v>106</v>
      </c>
      <c r="B2">
        <f ca="1">SUBTOTAL(109,Whole[k])</f>
        <v>210</v>
      </c>
      <c r="C2">
        <f ca="1">SUBTOTAL(103,Whole[c])</f>
        <v>6</v>
      </c>
    </row>
    <row r="3" spans="1:3" x14ac:dyDescent="0.35">
      <c r="A3">
        <v>5</v>
      </c>
      <c r="B3">
        <v>60</v>
      </c>
      <c r="C3" t="s">
        <v>88</v>
      </c>
    </row>
    <row r="4" spans="1:3" x14ac:dyDescent="0.35">
      <c r="A4">
        <v>2</v>
      </c>
      <c r="B4">
        <v>50</v>
      </c>
      <c r="C4" t="s">
        <v>85</v>
      </c>
    </row>
    <row r="5" spans="1:3" x14ac:dyDescent="0.35">
      <c r="A5">
        <v>4</v>
      </c>
      <c r="B5">
        <v>40</v>
      </c>
      <c r="C5" t="s">
        <v>87</v>
      </c>
    </row>
    <row r="6" spans="1:3" x14ac:dyDescent="0.35">
      <c r="A6">
        <v>0</v>
      </c>
      <c r="B6">
        <v>30</v>
      </c>
      <c r="C6" t="s">
        <v>83</v>
      </c>
    </row>
    <row r="7" spans="1:3" x14ac:dyDescent="0.35">
      <c r="A7">
        <v>3</v>
      </c>
      <c r="B7">
        <v>20</v>
      </c>
      <c r="C7" t="s">
        <v>86</v>
      </c>
    </row>
    <row r="8" spans="1:3" x14ac:dyDescent="0.35">
      <c r="A8">
        <v>1</v>
      </c>
      <c r="B8">
        <v>10</v>
      </c>
      <c r="C8" t="s">
        <v>84</v>
      </c>
    </row>
  </sheetData>
  <sortState xmlns:xlrd2="http://schemas.microsoft.com/office/spreadsheetml/2017/richdata2" ref="A2:C8">
    <sortCondition descending="1" ref="B2:B8"/>
  </sortState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BD2D-90F4-4CAD-ABCE-323BA0F29C24}">
  <sheetPr filterMode="1"/>
  <dimension ref="A1:C7"/>
  <sheetViews>
    <sheetView workbookViewId="0">
      <selection activeCell="A2" sqref="A2:C7"/>
    </sheetView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5</v>
      </c>
      <c r="B2">
        <v>60</v>
      </c>
      <c r="C2" t="s">
        <v>88</v>
      </c>
    </row>
    <row r="3" spans="1:3" hidden="1" x14ac:dyDescent="0.35">
      <c r="A3">
        <v>1</v>
      </c>
      <c r="B3">
        <v>10</v>
      </c>
      <c r="C3" t="s">
        <v>84</v>
      </c>
    </row>
    <row r="4" spans="1:3" x14ac:dyDescent="0.35">
      <c r="A4">
        <v>2</v>
      </c>
      <c r="B4">
        <v>50</v>
      </c>
      <c r="C4" t="s">
        <v>85</v>
      </c>
    </row>
    <row r="5" spans="1:3" x14ac:dyDescent="0.35">
      <c r="A5">
        <v>4</v>
      </c>
      <c r="B5">
        <v>40</v>
      </c>
      <c r="C5" t="s">
        <v>87</v>
      </c>
    </row>
    <row r="6" spans="1:3" x14ac:dyDescent="0.35">
      <c r="A6">
        <v>0</v>
      </c>
      <c r="B6">
        <v>30</v>
      </c>
      <c r="C6" t="s">
        <v>83</v>
      </c>
    </row>
    <row r="7" spans="1:3" x14ac:dyDescent="0.35">
      <c r="A7">
        <v>3</v>
      </c>
      <c r="B7">
        <v>20</v>
      </c>
      <c r="C7" t="s">
        <v>86</v>
      </c>
    </row>
  </sheetData>
  <autoFilter ref="A1:C7" xr:uid="{87B9BD2D-90F4-4CAD-ABCE-323BA0F29C24}">
    <filterColumn colId="1">
      <customFilters>
        <customFilter operator="greaterThan" val="15"/>
      </customFilters>
    </filterColumn>
    <sortState xmlns:xlrd2="http://schemas.microsoft.com/office/spreadsheetml/2017/richdata2" ref="A2:C7">
      <sortCondition descending="1" ref="B2:B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Values</vt:lpstr>
      <vt:lpstr>Down</vt:lpstr>
      <vt:lpstr>Case</vt:lpstr>
      <vt:lpstr>CaseDown</vt:lpstr>
      <vt:lpstr>Words</vt:lpstr>
      <vt:lpstr>Keys</vt:lpstr>
      <vt:lpstr>Moves</vt:lpstr>
      <vt:lpstr>Inner</vt:lpstr>
      <vt:lpstr>NoHeader</vt:lpstr>
      <vt:lpstr>Hidden</vt:lpstr>
      <vt:lpstr>Filtered</vt:lpstr>
      <vt:lpstr>Blanks</vt:lpstr>
      <vt:lpstr>Trim</vt:lpstr>
      <vt:lpstr>Shared</vt:lpstr>
      <vt:lpstr>Merged</vt:lpstr>
      <vt:lpstr>Array</vt:lpstr>
      <vt:lpstr>ArrayRow</vt:lpstr>
      <vt:lpstr>Spill</vt:lpstr>
      <vt:lpstr>Kinds</vt:lpstr>
      <vt:lpstr>Table</vt:lpstr>
      <vt:lpstr>TableKeys</vt:lpstr>
      <vt:lpstr>TableFiltered</vt:lpstr>
      <vt:lpstr>TableHeadless</vt:lpstr>
      <vt:lpstr>TableRange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2026-09-26T11:56:38Z</dcterms:created>
  <dcterms:modified xsi:type="dcterms:W3CDTF">2026-09-26T11:56:38Z</dcterms:modified>
</cp:coreProperties>
</file>